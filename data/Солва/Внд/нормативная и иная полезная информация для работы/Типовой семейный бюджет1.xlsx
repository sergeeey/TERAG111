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drawings/drawing3.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0" yWindow="0" windowWidth="15150" windowHeight="11490"/>
  </bookViews>
  <sheets>
    <sheet name="Краткая сводка" sheetId="5" r:id="rId1"/>
    <sheet name="Бюджет" sheetId="1" r:id="rId2"/>
    <sheet name="Настройка" sheetId="2" r:id="rId3"/>
    <sheet name="Данные диаграммы" sheetId="4" state="hidden" r:id="rId4"/>
  </sheets>
  <definedNames>
    <definedName name="shpКнопкаСведения">'Краткая сводка'!$M$33</definedName>
    <definedName name="доход">tblДоходыПодстановка[Доходы]</definedName>
    <definedName name="значения_отображаемых_статей_расходов_за_период">OFFSET(отображаемые_статьи_расходов,,период)</definedName>
    <definedName name="количество_отображаемых_статей_расходов">COUNTIF('Данные диаграммы'!$B$7:$B$21,"&gt;"&amp; " ")</definedName>
    <definedName name="НазваниеБюджета">Настройка!$B$1</definedName>
    <definedName name="НачальнаяЯчейка">'Данные диаграммы'!$B$6</definedName>
    <definedName name="НачальныйБаланс">Бюджет!$C$5</definedName>
    <definedName name="отображаемые_статьи_расходов">OFFSET(НачальнаяЯчейка,15-количество_отображаемых_статей_расходов+1,,количество_отображаемых_статей_расходов)</definedName>
    <definedName name="отображать_длительный_период">CHOOSE(период,"Январь","Февраль","Март","Апрель","Май","Июнь","Июль","Август","Сентябрь","Октябрь","Ноябрь","Декабрь","Год")</definedName>
    <definedName name="период">'Данные диаграммы'!$C$4</definedName>
    <definedName name="Печать_заголовков" localSheetId="1">Бюджет!$1:$4</definedName>
    <definedName name="расходы_благотворительность">tblРасходыБлаготворительность[Благотворительность]</definedName>
    <definedName name="расходы_быт_нужды">tblРасходыБытНужды[Бытовые нужды]</definedName>
    <definedName name="расходы_выплаты">tblРасходыВыплаты[Выплаты]</definedName>
    <definedName name="расходы_дети">tblРасходыДети[Дети]</definedName>
    <definedName name="расходы_домашние_животные">tblРасходыДомЖивотные[Домашние животные]</definedName>
    <definedName name="расходы_жилье">tblРасходыЖилье[Жилье]</definedName>
    <definedName name="расходы_здоровье">tblРасходыЗдоровье[Здоровье]</definedName>
    <definedName name="расходы_образование">tblРасходыОбразование[Образование]</definedName>
    <definedName name="расходы_отдых">tblРасходыОтдых[Отдых]</definedName>
    <definedName name="расходы_подписки">tblРасходыПодписки[Подписки]</definedName>
    <definedName name="расходы_развлечения">tblРасходыPазвлечения[Развлечения]</definedName>
    <definedName name="расходы_разное">tblРасходыРазное[Разное]</definedName>
    <definedName name="расходы_сбережения">tblРасходыСбережения[Сбережения]</definedName>
    <definedName name="расходы_страховка">tblРасходыСтраховка[Страховка]</definedName>
    <definedName name="расходы_транспорт">tblРасходыТранспорт[Транспорт]</definedName>
    <definedName name="список_статей_расходов_01">CHOOSE(MATCH(INDEX(Бюджет!$B$21,,1),статьи_расходов,0),0,расходы_жилье,расходы_быт_нужды,расходы_дети,расходы_транспорт,расходы_здоровье,расходы_страховка,расходы_образование,расходы_благотворительность,расходы_сбережения,расходы_выплаты,расходы_развлечения,расходы_домашние_животные,расходы_подписки,расходы_отдых,расходы_разное)</definedName>
    <definedName name="список_статей_расходов_02">CHOOSE(MATCH(INDEX(Бюджет!$B$30,,1),статьи_расходов,0),0,расходы_жилье,расходы_быт_нужды,расходы_дети,расходы_транспорт,расходы_здоровье,расходы_страховка,расходы_образование,расходы_благотворительность,расходы_сбережения,расходы_выплаты,расходы_развлечения,расходы_домашние_животные,расходы_подписки,расходы_отдых,расходы_разное)</definedName>
    <definedName name="список_статей_расходов_03">CHOOSE(MATCH(INDEX(Бюджет!$B$39,,1),статьи_расходов,0),0,расходы_жилье,расходы_быт_нужды,расходы_дети,расходы_транспорт,расходы_здоровье,расходы_страховка,расходы_образование,расходы_благотворительность,расходы_сбережения,расходы_выплаты,расходы_развлечения,расходы_домашние_животные,расходы_подписки,расходы_отдых,расходы_разное)</definedName>
    <definedName name="список_статей_расходов_04">CHOOSE(MATCH(INDEX(Бюджет!$B$48,,1),статьи_расходов,0),0,расходы_жилье,расходы_быт_нужды,расходы_дети,расходы_транспорт,расходы_здоровье,расходы_страховка,расходы_образование,расходы_благотворительность,расходы_сбережения,расходы_выплаты,расходы_развлечения,расходы_домашние_животные,расходы_подписки,расходы_отдых,расходы_разное)</definedName>
    <definedName name="список_статей_расходов_05">CHOOSE(MATCH(INDEX(Бюджет!$B$57,,1),статьи_расходов,0),0,расходы_жилье,расходы_быт_нужды,расходы_дети,расходы_транспорт,расходы_здоровье,расходы_страховка,расходы_образование,расходы_благотворительность,расходы_сбережения,расходы_выплаты,расходы_развлечения,расходы_домашние_животные,расходы_подписки,расходы_отдых,расходы_разное)</definedName>
    <definedName name="список_статей_расходов_06">CHOOSE(MATCH(INDEX(Бюджет!$B$64,,1),статьи_расходов,0),0,расходы_жилье,расходы_быт_нужды,расходы_дети,расходы_транспорт,расходы_здоровье,расходы_страховка,расходы_образование,расходы_благотворительность,расходы_сбережения,расходы_выплаты,расходы_развлечения,расходы_домашние_животные,расходы_подписки,расходы_отдых,расходы_разное)</definedName>
    <definedName name="список_статей_расходов_07">CHOOSE(MATCH(INDEX(Бюджет!$B$71,,1),статьи_расходов,0),0,расходы_жилье,расходы_быт_нужды,расходы_дети,расходы_транспорт,расходы_здоровье,расходы_страховка,расходы_образование,расходы_благотворительность,расходы_сбережения,расходы_выплаты,расходы_развлечения,расходы_домашние_животные,расходы_подписки,расходы_отдых,расходы_разное)</definedName>
    <definedName name="список_статей_расходов_08">CHOOSE(MATCH(INDEX(Бюджет!$B$78,,1),статьи_расходов,0),0,расходы_жилье,расходы_быт_нужды,расходы_дети,расходы_транспорт,расходы_здоровье,расходы_страховка,расходы_образование,расходы_благотворительность,расходы_сбережения,расходы_выплаты,расходы_развлечения,расходы_домашние_животные,расходы_подписки,расходы_отдых,расходы_разное)</definedName>
    <definedName name="список_статей_расходов_09">CHOOSE(MATCH(INDEX(Бюджет!$B$85,,1),статьи_расходов,0),0,расходы_жилье,расходы_быт_нужды,расходы_дети,расходы_транспорт,расходы_здоровье,расходы_страховка,расходы_образование,расходы_благотворительность,расходы_сбережения,расходы_выплаты,расходы_развлечения,расходы_домашние_животные,расходы_подписки,расходы_отдых,расходы_разное)</definedName>
    <definedName name="список_статей_расходов_10">CHOOSE(MATCH(INDEX(Бюджет!$B$92,,1),статьи_расходов,0),0,расходы_жилье,расходы_быт_нужды,расходы_дети,расходы_транспорт,расходы_здоровье,расходы_страховка,расходы_образование,расходы_благотворительность,расходы_сбережения,расходы_выплаты,расходы_развлечения,расходы_домашние_животные,расходы_подписки,расходы_отдых,расходы_разное)</definedName>
    <definedName name="список_статей_расходов_11">CHOOSE(MATCH(INDEX(Бюджет!$B$99,,1),статьи_расходов,0),0,расходы_жилье,расходы_быт_нужды,расходы_дети,расходы_транспорт,расходы_здоровье,расходы_страховка,расходы_образование,расходы_благотворительность,расходы_сбережения,расходы_выплаты,расходы_развлечения,расходы_домашние_животные,расходы_подписки,расходы_отдых,расходы_разное)</definedName>
    <definedName name="список_статей_расходов_12">CHOOSE(MATCH(INDEX(Бюджет!$B$106,,1),статьи_расходов,0),0,расходы_жилье,расходы_быт_нужды,расходы_дети,расходы_транспорт,расходы_здоровье,расходы_страховка,расходы_образование,расходы_благотворительность,расходы_сбережения,расходы_выплаты,расходы_развлечения,расходы_домашние_животные,расходы_подписки,расходы_отдых,расходы_разное)</definedName>
    <definedName name="список_статей_расходов_13">CHOOSE(MATCH(INDEX(Бюджет!$B$113,,1),статьи_расходов,0),0,расходы_жилье,расходы_быт_нужды,расходы_дети,расходы_транспорт,расходы_здоровье,расходы_страховка,расходы_образование,расходы_благотворительность,расходы_сбережения,расходы_выплаты,расходы_развлечения,расходы_домашние_животные,расходы_подписки,расходы_отдых,расходы_разное)</definedName>
    <definedName name="список_статей_расходов_14">CHOOSE(MATCH(INDEX(Бюджет!$B$120,,1),статьи_расходов,0),0,расходы_жилье,расходы_быт_нужды,расходы_дети,расходы_транспорт,расходы_здоровье,расходы_страховка,расходы_образование,расходы_благотворительность,расходы_сбережения,расходы_выплаты,расходы_развлечения,расходы_домашние_животные,расходы_подписки,расходы_отдых,расходы_разное)</definedName>
    <definedName name="список_статей_расходов_15">CHOOSE(MATCH(INDEX(Бюджет!$B$127,,1),статьи_расходов,0),0,расходы_жилье,расходы_быт_нужды,расходы_дети,расходы_транспорт,расходы_здоровье,расходы_страховка,расходы_образование,расходы_благотворительность,расходы_сбережения,расходы_выплаты,расходы_развлечения,расходы_домашние_животные,расходы_подписки,расходы_отдых,расходы_разное)</definedName>
    <definedName name="статьи_расходов">tblСтатьиРасходов[Расходы]</definedName>
  </definedNames>
  <calcPr calcId="152511"/>
</workbook>
</file>

<file path=xl/calcChain.xml><?xml version="1.0" encoding="utf-8"?>
<calcChain xmlns="http://schemas.openxmlformats.org/spreadsheetml/2006/main">
  <c r="B96" i="1" l="1"/>
  <c r="B89" i="1"/>
  <c r="B82" i="1"/>
  <c r="B75" i="1"/>
  <c r="B68" i="1"/>
  <c r="B61" i="1"/>
  <c r="B54" i="1"/>
  <c r="B45" i="1"/>
  <c r="B36" i="1"/>
  <c r="B27" i="1"/>
  <c r="B37" i="4"/>
  <c r="B40" i="4" l="1"/>
  <c r="B38" i="4"/>
  <c r="N1" i="5"/>
  <c r="C7" i="4" l="1"/>
  <c r="C6" i="1"/>
  <c r="B131" i="1"/>
  <c r="B124" i="1"/>
  <c r="B117" i="1"/>
  <c r="B110" i="1"/>
  <c r="B103" i="1"/>
  <c r="O79" i="1" l="1"/>
  <c r="P79" i="1"/>
  <c r="B7" i="4"/>
  <c r="B8" i="4"/>
  <c r="B9" i="4"/>
  <c r="B10" i="4"/>
  <c r="B11" i="4"/>
  <c r="B12" i="4"/>
  <c r="B13" i="4"/>
  <c r="B14" i="4"/>
  <c r="B15" i="4"/>
  <c r="B16" i="4"/>
  <c r="B17" i="4"/>
  <c r="B18" i="4"/>
  <c r="B19" i="4"/>
  <c r="B20" i="4"/>
  <c r="B21" i="4"/>
  <c r="O102" i="1"/>
  <c r="P102" i="1"/>
  <c r="N21" i="4"/>
  <c r="M21" i="4"/>
  <c r="L21" i="4"/>
  <c r="K21" i="4"/>
  <c r="J21" i="4"/>
  <c r="I21" i="4"/>
  <c r="H21" i="4"/>
  <c r="G21" i="4"/>
  <c r="F21" i="4"/>
  <c r="E21" i="4"/>
  <c r="D21" i="4"/>
  <c r="C21" i="4"/>
  <c r="N20" i="4"/>
  <c r="M20" i="4"/>
  <c r="L20" i="4"/>
  <c r="K20" i="4"/>
  <c r="J20" i="4"/>
  <c r="I20" i="4"/>
  <c r="H20" i="4"/>
  <c r="G20" i="4"/>
  <c r="F20" i="4"/>
  <c r="E20" i="4"/>
  <c r="D20" i="4"/>
  <c r="C20" i="4"/>
  <c r="N19" i="4"/>
  <c r="M19" i="4"/>
  <c r="L19" i="4"/>
  <c r="K19" i="4"/>
  <c r="J19" i="4"/>
  <c r="I19" i="4"/>
  <c r="H19" i="4"/>
  <c r="G19" i="4"/>
  <c r="F19" i="4"/>
  <c r="E19" i="4"/>
  <c r="D19" i="4"/>
  <c r="C19" i="4"/>
  <c r="N18" i="4"/>
  <c r="M18" i="4"/>
  <c r="L18" i="4"/>
  <c r="K18" i="4"/>
  <c r="J18" i="4"/>
  <c r="I18" i="4"/>
  <c r="H18" i="4"/>
  <c r="G18" i="4"/>
  <c r="F18" i="4"/>
  <c r="E18" i="4"/>
  <c r="D18" i="4"/>
  <c r="C18" i="4"/>
  <c r="N17" i="4"/>
  <c r="M17" i="4"/>
  <c r="L17" i="4"/>
  <c r="K17" i="4"/>
  <c r="J17" i="4"/>
  <c r="I17" i="4"/>
  <c r="H17" i="4"/>
  <c r="G17" i="4"/>
  <c r="F17" i="4"/>
  <c r="E17" i="4"/>
  <c r="D17" i="4"/>
  <c r="C17" i="4"/>
  <c r="N16" i="4"/>
  <c r="M16" i="4"/>
  <c r="L16" i="4"/>
  <c r="K16" i="4"/>
  <c r="J16" i="4"/>
  <c r="I16" i="4"/>
  <c r="H16" i="4"/>
  <c r="G16" i="4"/>
  <c r="F16" i="4"/>
  <c r="E16" i="4"/>
  <c r="D16" i="4"/>
  <c r="C16" i="4"/>
  <c r="N15" i="4"/>
  <c r="M15" i="4"/>
  <c r="L15" i="4"/>
  <c r="K15" i="4"/>
  <c r="J15" i="4"/>
  <c r="I15" i="4"/>
  <c r="H15" i="4"/>
  <c r="G15" i="4"/>
  <c r="F15" i="4"/>
  <c r="E15" i="4"/>
  <c r="D15" i="4"/>
  <c r="C15" i="4"/>
  <c r="N14" i="4"/>
  <c r="M14" i="4"/>
  <c r="L14" i="4"/>
  <c r="K14" i="4"/>
  <c r="J14" i="4"/>
  <c r="I14" i="4"/>
  <c r="H14" i="4"/>
  <c r="G14" i="4"/>
  <c r="F14" i="4"/>
  <c r="E14" i="4"/>
  <c r="D14" i="4"/>
  <c r="C14" i="4"/>
  <c r="N13" i="4"/>
  <c r="M13" i="4"/>
  <c r="L13" i="4"/>
  <c r="K13" i="4"/>
  <c r="J13" i="4"/>
  <c r="I13" i="4"/>
  <c r="H13" i="4"/>
  <c r="G13" i="4"/>
  <c r="F13" i="4"/>
  <c r="E13" i="4"/>
  <c r="D13" i="4"/>
  <c r="C13" i="4"/>
  <c r="N12" i="4"/>
  <c r="M12" i="4"/>
  <c r="L12" i="4"/>
  <c r="K12" i="4"/>
  <c r="J12" i="4"/>
  <c r="I12" i="4"/>
  <c r="H12" i="4"/>
  <c r="G12" i="4"/>
  <c r="F12" i="4"/>
  <c r="E12" i="4"/>
  <c r="D12" i="4"/>
  <c r="C12" i="4"/>
  <c r="N11" i="4"/>
  <c r="M11" i="4"/>
  <c r="L11" i="4"/>
  <c r="K11" i="4"/>
  <c r="J11" i="4"/>
  <c r="I11" i="4"/>
  <c r="H11" i="4"/>
  <c r="G11" i="4"/>
  <c r="F11" i="4"/>
  <c r="E11" i="4"/>
  <c r="D11" i="4"/>
  <c r="C11" i="4"/>
  <c r="N10" i="4"/>
  <c r="M10" i="4"/>
  <c r="L10" i="4"/>
  <c r="K10" i="4"/>
  <c r="J10" i="4"/>
  <c r="I10" i="4"/>
  <c r="H10" i="4"/>
  <c r="G10" i="4"/>
  <c r="F10" i="4"/>
  <c r="E10" i="4"/>
  <c r="D10" i="4"/>
  <c r="C10" i="4"/>
  <c r="N9" i="4"/>
  <c r="M9" i="4"/>
  <c r="L9" i="4"/>
  <c r="K9" i="4"/>
  <c r="J9" i="4"/>
  <c r="I9" i="4"/>
  <c r="H9" i="4"/>
  <c r="G9" i="4"/>
  <c r="F9" i="4"/>
  <c r="E9" i="4"/>
  <c r="D9" i="4"/>
  <c r="C9" i="4"/>
  <c r="N8" i="4"/>
  <c r="M8" i="4"/>
  <c r="L8" i="4"/>
  <c r="K8" i="4"/>
  <c r="J8" i="4"/>
  <c r="I8" i="4"/>
  <c r="H8" i="4"/>
  <c r="G8" i="4"/>
  <c r="F8" i="4"/>
  <c r="E8" i="4"/>
  <c r="D8" i="4"/>
  <c r="C8" i="4"/>
  <c r="N7" i="4"/>
  <c r="M7" i="4"/>
  <c r="L7" i="4"/>
  <c r="K7" i="4"/>
  <c r="J7" i="4"/>
  <c r="I7" i="4"/>
  <c r="H7" i="4"/>
  <c r="G7" i="4"/>
  <c r="F7" i="4"/>
  <c r="E7" i="4"/>
  <c r="D7" i="4"/>
  <c r="D6" i="1"/>
  <c r="E6" i="1"/>
  <c r="F6" i="1"/>
  <c r="G6" i="1"/>
  <c r="H6" i="1"/>
  <c r="I6" i="1"/>
  <c r="J6" i="1"/>
  <c r="K6" i="1"/>
  <c r="L6" i="1"/>
  <c r="M6" i="1"/>
  <c r="N6" i="1"/>
  <c r="D7" i="1"/>
  <c r="E7" i="1"/>
  <c r="F7" i="1"/>
  <c r="G7" i="1"/>
  <c r="H7" i="1"/>
  <c r="I7" i="1"/>
  <c r="J7" i="1"/>
  <c r="K7" i="1"/>
  <c r="L7" i="1"/>
  <c r="M7" i="1"/>
  <c r="N7" i="1"/>
  <c r="C7" i="1"/>
  <c r="C38" i="4"/>
  <c r="A3" i="5" s="1"/>
  <c r="N131" i="1"/>
  <c r="M131" i="1"/>
  <c r="L131" i="1"/>
  <c r="K131" i="1"/>
  <c r="J131" i="1"/>
  <c r="I131" i="1"/>
  <c r="H131" i="1"/>
  <c r="G131" i="1"/>
  <c r="F131" i="1"/>
  <c r="E131" i="1"/>
  <c r="D131" i="1"/>
  <c r="C131" i="1"/>
  <c r="O130" i="1"/>
  <c r="P130" i="1" s="1"/>
  <c r="O129" i="1"/>
  <c r="P129" i="1" s="1"/>
  <c r="O128" i="1"/>
  <c r="N124" i="1"/>
  <c r="M124" i="1"/>
  <c r="L124" i="1"/>
  <c r="K124" i="1"/>
  <c r="J124" i="1"/>
  <c r="I124" i="1"/>
  <c r="H124" i="1"/>
  <c r="G124" i="1"/>
  <c r="F124" i="1"/>
  <c r="E124" i="1"/>
  <c r="D124" i="1"/>
  <c r="C124" i="1"/>
  <c r="O123" i="1"/>
  <c r="P123" i="1" s="1"/>
  <c r="O122" i="1"/>
  <c r="P122" i="1"/>
  <c r="O121" i="1"/>
  <c r="P121" i="1" s="1"/>
  <c r="N117" i="1"/>
  <c r="M117" i="1"/>
  <c r="L117" i="1"/>
  <c r="K117" i="1"/>
  <c r="J117" i="1"/>
  <c r="I117" i="1"/>
  <c r="H117" i="1"/>
  <c r="G117" i="1"/>
  <c r="F117" i="1"/>
  <c r="E117" i="1"/>
  <c r="D117" i="1"/>
  <c r="C117" i="1"/>
  <c r="O116" i="1"/>
  <c r="P116" i="1"/>
  <c r="O115" i="1"/>
  <c r="P115" i="1" s="1"/>
  <c r="P9" i="4" s="1"/>
  <c r="O114" i="1"/>
  <c r="N110" i="1"/>
  <c r="M110" i="1"/>
  <c r="L110" i="1"/>
  <c r="K110" i="1"/>
  <c r="J110" i="1"/>
  <c r="I110" i="1"/>
  <c r="H110" i="1"/>
  <c r="G110" i="1"/>
  <c r="F110" i="1"/>
  <c r="E110" i="1"/>
  <c r="D110" i="1"/>
  <c r="C110" i="1"/>
  <c r="O109" i="1"/>
  <c r="P109" i="1" s="1"/>
  <c r="O108" i="1"/>
  <c r="P108" i="1"/>
  <c r="O107" i="1"/>
  <c r="P107" i="1" s="1"/>
  <c r="N103" i="1"/>
  <c r="M103" i="1"/>
  <c r="L103" i="1"/>
  <c r="K103" i="1"/>
  <c r="J103" i="1"/>
  <c r="I103" i="1"/>
  <c r="H103" i="1"/>
  <c r="G103" i="1"/>
  <c r="F103" i="1"/>
  <c r="E103" i="1"/>
  <c r="D103" i="1"/>
  <c r="C103" i="1"/>
  <c r="O101" i="1"/>
  <c r="P101" i="1"/>
  <c r="O100" i="1"/>
  <c r="P100" i="1" s="1"/>
  <c r="P11" i="4" s="1"/>
  <c r="N96" i="1"/>
  <c r="M96" i="1"/>
  <c r="L96" i="1"/>
  <c r="K96" i="1"/>
  <c r="J96" i="1"/>
  <c r="I96" i="1"/>
  <c r="H96" i="1"/>
  <c r="G96" i="1"/>
  <c r="F96" i="1"/>
  <c r="E96" i="1"/>
  <c r="D96" i="1"/>
  <c r="C96" i="1"/>
  <c r="O95" i="1"/>
  <c r="P95" i="1"/>
  <c r="O94" i="1"/>
  <c r="P94" i="1" s="1"/>
  <c r="O93" i="1"/>
  <c r="N89" i="1"/>
  <c r="M89" i="1"/>
  <c r="L89" i="1"/>
  <c r="K89" i="1"/>
  <c r="J89" i="1"/>
  <c r="I89" i="1"/>
  <c r="H89" i="1"/>
  <c r="G89" i="1"/>
  <c r="F89" i="1"/>
  <c r="E89" i="1"/>
  <c r="D89" i="1"/>
  <c r="C89" i="1"/>
  <c r="O88" i="1"/>
  <c r="P88" i="1"/>
  <c r="O87" i="1"/>
  <c r="P87" i="1" s="1"/>
  <c r="P13" i="4" s="1"/>
  <c r="O86" i="1"/>
  <c r="P86" i="1"/>
  <c r="N82" i="1"/>
  <c r="M82" i="1"/>
  <c r="L82" i="1"/>
  <c r="K82" i="1"/>
  <c r="J82" i="1"/>
  <c r="I82" i="1"/>
  <c r="H82" i="1"/>
  <c r="G82" i="1"/>
  <c r="F82" i="1"/>
  <c r="E82" i="1"/>
  <c r="D82" i="1"/>
  <c r="C82" i="1"/>
  <c r="O81" i="1"/>
  <c r="P81" i="1" s="1"/>
  <c r="P14" i="4" s="1"/>
  <c r="O80" i="1"/>
  <c r="P80" i="1"/>
  <c r="N75" i="1"/>
  <c r="M75" i="1"/>
  <c r="L75" i="1"/>
  <c r="K75" i="1"/>
  <c r="J75" i="1"/>
  <c r="I75" i="1"/>
  <c r="H75" i="1"/>
  <c r="G75" i="1"/>
  <c r="F75" i="1"/>
  <c r="E75" i="1"/>
  <c r="D75" i="1"/>
  <c r="C75" i="1"/>
  <c r="O74" i="1"/>
  <c r="P74" i="1" s="1"/>
  <c r="P15" i="4" s="1"/>
  <c r="O73" i="1"/>
  <c r="P73" i="1"/>
  <c r="O72" i="1"/>
  <c r="N68" i="1"/>
  <c r="M68" i="1"/>
  <c r="L68" i="1"/>
  <c r="K68" i="1"/>
  <c r="J68" i="1"/>
  <c r="I68" i="1"/>
  <c r="H68" i="1"/>
  <c r="G68" i="1"/>
  <c r="F68" i="1"/>
  <c r="E68" i="1"/>
  <c r="D68" i="1"/>
  <c r="C68" i="1"/>
  <c r="O67" i="1"/>
  <c r="P67" i="1" s="1"/>
  <c r="O66" i="1"/>
  <c r="P66" i="1" s="1"/>
  <c r="O65" i="1"/>
  <c r="N61" i="1"/>
  <c r="M61" i="1"/>
  <c r="L61" i="1"/>
  <c r="K61" i="1"/>
  <c r="J61" i="1"/>
  <c r="I61" i="1"/>
  <c r="H61" i="1"/>
  <c r="G61" i="1"/>
  <c r="F61" i="1"/>
  <c r="E61" i="1"/>
  <c r="D61" i="1"/>
  <c r="C61" i="1"/>
  <c r="O60" i="1"/>
  <c r="P60" i="1"/>
  <c r="O59" i="1"/>
  <c r="P59" i="1" s="1"/>
  <c r="P17" i="4" s="1"/>
  <c r="O58" i="1"/>
  <c r="O32" i="1"/>
  <c r="P32" i="1" s="1"/>
  <c r="O35" i="1"/>
  <c r="P35" i="1" s="1"/>
  <c r="J45" i="1"/>
  <c r="O41" i="1"/>
  <c r="P41" i="1" s="1"/>
  <c r="P19" i="4" s="1"/>
  <c r="N54" i="1"/>
  <c r="M54" i="1"/>
  <c r="L54" i="1"/>
  <c r="K54" i="1"/>
  <c r="J54" i="1"/>
  <c r="I54" i="1"/>
  <c r="H54" i="1"/>
  <c r="G54" i="1"/>
  <c r="F54" i="1"/>
  <c r="E54" i="1"/>
  <c r="D54" i="1"/>
  <c r="C54" i="1"/>
  <c r="O53" i="1"/>
  <c r="P53" i="1"/>
  <c r="O52" i="1"/>
  <c r="P52" i="1" s="1"/>
  <c r="O51" i="1"/>
  <c r="P51" i="1"/>
  <c r="O50" i="1"/>
  <c r="P50" i="1" s="1"/>
  <c r="O49" i="1"/>
  <c r="N45" i="1"/>
  <c r="M45" i="1"/>
  <c r="L45" i="1"/>
  <c r="K45" i="1"/>
  <c r="I45" i="1"/>
  <c r="H45" i="1"/>
  <c r="G45" i="1"/>
  <c r="F45" i="1"/>
  <c r="E45" i="1"/>
  <c r="D45" i="1"/>
  <c r="C45" i="1"/>
  <c r="O44" i="1"/>
  <c r="P44" i="1"/>
  <c r="O43" i="1"/>
  <c r="P43" i="1" s="1"/>
  <c r="O42" i="1"/>
  <c r="P42" i="1"/>
  <c r="N36" i="1"/>
  <c r="L36" i="1"/>
  <c r="K36" i="1"/>
  <c r="J36" i="1"/>
  <c r="I36" i="1"/>
  <c r="H36" i="1"/>
  <c r="G36" i="1"/>
  <c r="F36" i="1"/>
  <c r="E36" i="1"/>
  <c r="D36" i="1"/>
  <c r="C36" i="1"/>
  <c r="O34" i="1"/>
  <c r="P34" i="1" s="1"/>
  <c r="O33" i="1"/>
  <c r="P33" i="1" s="1"/>
  <c r="O31" i="1"/>
  <c r="N27" i="1"/>
  <c r="M27" i="1"/>
  <c r="L27" i="1"/>
  <c r="K27" i="1"/>
  <c r="J27" i="1"/>
  <c r="I27" i="1"/>
  <c r="H27" i="1"/>
  <c r="G27" i="1"/>
  <c r="F27" i="1"/>
  <c r="E27" i="1"/>
  <c r="D27" i="1"/>
  <c r="C27" i="1"/>
  <c r="O26" i="1"/>
  <c r="P26" i="1" s="1"/>
  <c r="O25" i="1"/>
  <c r="P25" i="1"/>
  <c r="O24" i="1"/>
  <c r="P24" i="1" s="1"/>
  <c r="P21" i="4" s="1"/>
  <c r="O23" i="1"/>
  <c r="P23" i="1"/>
  <c r="O22" i="1"/>
  <c r="N18" i="1"/>
  <c r="L18" i="1"/>
  <c r="K18" i="1"/>
  <c r="J18" i="1"/>
  <c r="I18" i="1"/>
  <c r="H18" i="1"/>
  <c r="G18" i="1"/>
  <c r="F18" i="1"/>
  <c r="E18" i="1"/>
  <c r="D18" i="1"/>
  <c r="C18" i="1"/>
  <c r="M18" i="1"/>
  <c r="O13" i="1"/>
  <c r="P13" i="1"/>
  <c r="O14" i="1"/>
  <c r="P14" i="1" s="1"/>
  <c r="O15" i="1"/>
  <c r="P15" i="1" s="1"/>
  <c r="O16" i="1"/>
  <c r="P16" i="1" s="1"/>
  <c r="O17" i="1"/>
  <c r="P17" i="1"/>
  <c r="M8" i="1"/>
  <c r="G8" i="1"/>
  <c r="J8" i="1"/>
  <c r="F8" i="1"/>
  <c r="O17" i="4"/>
  <c r="O16" i="4"/>
  <c r="O15" i="4"/>
  <c r="O14" i="4"/>
  <c r="K8" i="1"/>
  <c r="E8" i="1"/>
  <c r="O12" i="4"/>
  <c r="O9" i="4"/>
  <c r="O20" i="4"/>
  <c r="O18" i="4"/>
  <c r="O7" i="4"/>
  <c r="D8" i="1"/>
  <c r="N8" i="1"/>
  <c r="H8" i="1"/>
  <c r="O11" i="4"/>
  <c r="O13" i="4"/>
  <c r="O21" i="4"/>
  <c r="L8" i="1"/>
  <c r="O8" i="4"/>
  <c r="O10" i="4"/>
  <c r="I8" i="1"/>
  <c r="O131" i="1"/>
  <c r="P131" i="1"/>
  <c r="O75" i="1"/>
  <c r="P75" i="1" s="1"/>
  <c r="P49" i="1"/>
  <c r="O117" i="1"/>
  <c r="P117" i="1" s="1"/>
  <c r="P114" i="1"/>
  <c r="P128" i="1"/>
  <c r="O82" i="1"/>
  <c r="P82" i="1"/>
  <c r="O89" i="1"/>
  <c r="P89" i="1" s="1"/>
  <c r="O68" i="1"/>
  <c r="P68" i="1"/>
  <c r="C9" i="1"/>
  <c r="D9" i="1" s="1"/>
  <c r="E9" i="1" s="1"/>
  <c r="F9" i="1" s="1"/>
  <c r="G9" i="1" s="1"/>
  <c r="H9" i="1" s="1"/>
  <c r="I9" i="1" s="1"/>
  <c r="J9" i="1" s="1"/>
  <c r="K9" i="1" s="1"/>
  <c r="L9" i="1" s="1"/>
  <c r="M9" i="1" s="1"/>
  <c r="N9" i="1" s="1"/>
  <c r="C8" i="1"/>
  <c r="O61" i="1"/>
  <c r="P61" i="1"/>
  <c r="O96" i="1"/>
  <c r="P96" i="1" s="1"/>
  <c r="O103" i="1"/>
  <c r="P103" i="1"/>
  <c r="O110" i="1"/>
  <c r="P110" i="1" s="1"/>
  <c r="O124" i="1"/>
  <c r="P124" i="1"/>
  <c r="P93" i="1"/>
  <c r="P72" i="1"/>
  <c r="P65" i="1"/>
  <c r="P16" i="4" s="1"/>
  <c r="P58" i="1"/>
  <c r="M36" i="1"/>
  <c r="O40" i="1"/>
  <c r="O54" i="1"/>
  <c r="P54" i="1"/>
  <c r="O36" i="1"/>
  <c r="P36" i="1" s="1"/>
  <c r="P31" i="1"/>
  <c r="O27" i="1"/>
  <c r="P27" i="1" s="1"/>
  <c r="P22" i="1"/>
  <c r="O18" i="1"/>
  <c r="P18" i="1"/>
  <c r="C28" i="4"/>
  <c r="C29" i="4"/>
  <c r="I28" i="4"/>
  <c r="I29" i="4"/>
  <c r="H29" i="4"/>
  <c r="H28" i="4"/>
  <c r="E28" i="4"/>
  <c r="E29" i="4"/>
  <c r="F28" i="4"/>
  <c r="F29" i="4"/>
  <c r="N28" i="4"/>
  <c r="N29" i="4"/>
  <c r="K28" i="4"/>
  <c r="K29" i="4"/>
  <c r="J28" i="4"/>
  <c r="J29" i="4"/>
  <c r="L28" i="4"/>
  <c r="L29" i="4"/>
  <c r="D28" i="4"/>
  <c r="D29" i="4"/>
  <c r="G28" i="4"/>
  <c r="G29" i="4"/>
  <c r="M29" i="4"/>
  <c r="M28" i="4"/>
  <c r="D40" i="4"/>
  <c r="C40" i="4"/>
  <c r="O19" i="4"/>
  <c r="I26" i="4"/>
  <c r="C26" i="4"/>
  <c r="N26" i="4"/>
  <c r="H26" i="4"/>
  <c r="M26" i="4"/>
  <c r="G26" i="4"/>
  <c r="L26" i="4"/>
  <c r="F26" i="4"/>
  <c r="K26" i="4"/>
  <c r="E26" i="4"/>
  <c r="J26" i="4"/>
  <c r="D26" i="4"/>
  <c r="O7" i="1"/>
  <c r="P7" i="1" s="1"/>
  <c r="O45" i="1"/>
  <c r="P45" i="1"/>
  <c r="P40" i="1"/>
  <c r="P7" i="4" l="1"/>
  <c r="P12" i="4"/>
  <c r="P10" i="4"/>
  <c r="P8" i="4"/>
  <c r="P20" i="4"/>
  <c r="P18" i="4"/>
  <c r="O6" i="1"/>
  <c r="B39" i="4"/>
  <c r="C39" i="4"/>
  <c r="A7" i="5" s="1"/>
  <c r="A11" i="5"/>
  <c r="P6" i="1" l="1"/>
  <c r="O8" i="1"/>
  <c r="O28" i="4" l="1"/>
  <c r="O29" i="4"/>
  <c r="P8" i="1"/>
  <c r="O26" i="4"/>
</calcChain>
</file>

<file path=xl/sharedStrings.xml><?xml version="1.0" encoding="utf-8"?>
<sst xmlns="http://schemas.openxmlformats.org/spreadsheetml/2006/main" count="244" uniqueCount="133">
  <si>
    <t xml:space="preserve"> </t>
  </si>
  <si>
    <t>Доходы</t>
  </si>
  <si>
    <t>Заработная плата и чаевые</t>
  </si>
  <si>
    <t>Доход от процентов</t>
  </si>
  <si>
    <t>Дивиденды</t>
  </si>
  <si>
    <t>Полученные подарки</t>
  </si>
  <si>
    <t>Возмещения и компенсации</t>
  </si>
  <si>
    <t>Перевод из сбережений</t>
  </si>
  <si>
    <t>Прочее</t>
  </si>
  <si>
    <t>СЕМЬЯ ЕГОРОВЫХ, 2012 год</t>
  </si>
  <si>
    <t>Расходы</t>
  </si>
  <si>
    <t>Жилье</t>
  </si>
  <si>
    <t>Бытовые нужды</t>
  </si>
  <si>
    <t>Дети</t>
  </si>
  <si>
    <t>Транспорт</t>
  </si>
  <si>
    <t>Здоровье</t>
  </si>
  <si>
    <t>Страховка</t>
  </si>
  <si>
    <t>Образование</t>
  </si>
  <si>
    <t>Благотворительность</t>
  </si>
  <si>
    <t>Сбережения</t>
  </si>
  <si>
    <t>Выплаты</t>
  </si>
  <si>
    <t>Развлечения</t>
  </si>
  <si>
    <t>Домашние животные</t>
  </si>
  <si>
    <t>Подписки</t>
  </si>
  <si>
    <t>Отдых</t>
  </si>
  <si>
    <t>Разное</t>
  </si>
  <si>
    <t>Ипотека или аренда</t>
  </si>
  <si>
    <t>Электроэнергия</t>
  </si>
  <si>
    <t>Отопление</t>
  </si>
  <si>
    <t>Вода, канализация и вывоз мусора</t>
  </si>
  <si>
    <t>Телефон</t>
  </si>
  <si>
    <t>Кабельное или спутниковое ТВ</t>
  </si>
  <si>
    <t>Интернет</t>
  </si>
  <si>
    <t>Мебель и бытовая техника</t>
  </si>
  <si>
    <t>Газон или сад</t>
  </si>
  <si>
    <t>Товары для дома</t>
  </si>
  <si>
    <t>Содержание жилья</t>
  </si>
  <si>
    <t>Ремонт дома</t>
  </si>
  <si>
    <t>Продукты</t>
  </si>
  <si>
    <t>Средства личной гигиены</t>
  </si>
  <si>
    <t>Одежда</t>
  </si>
  <si>
    <t>Услуги по уборке</t>
  </si>
  <si>
    <t>Питание вне дома</t>
  </si>
  <si>
    <t>Химчистка</t>
  </si>
  <si>
    <t>Салон красоты или парикмахерская</t>
  </si>
  <si>
    <t>Медицинские услуги</t>
  </si>
  <si>
    <t>Обучение в школе</t>
  </si>
  <si>
    <t>Обед в школе</t>
  </si>
  <si>
    <t>Школьные принадлежности</t>
  </si>
  <si>
    <t>Няня</t>
  </si>
  <si>
    <t>Игрушки и игры</t>
  </si>
  <si>
    <t>Расходы на автомобиль</t>
  </si>
  <si>
    <t>Топливо</t>
  </si>
  <si>
    <t>Общественный транспорт</t>
  </si>
  <si>
    <t>Ремонт</t>
  </si>
  <si>
    <t>Регистрация и удостоверение</t>
  </si>
  <si>
    <t>Стоматолог и другие врачи</t>
  </si>
  <si>
    <t>Лекарства</t>
  </si>
  <si>
    <t>Абонементы в спортзалы</t>
  </si>
  <si>
    <t>Автомобиль</t>
  </si>
  <si>
    <t>Жилье (собственное или арендуемое)</t>
  </si>
  <si>
    <t>Жизнь</t>
  </si>
  <si>
    <t>Обучение</t>
  </si>
  <si>
    <t>Книги</t>
  </si>
  <si>
    <t>Музыкальная школа</t>
  </si>
  <si>
    <t>Покупка подарков</t>
  </si>
  <si>
    <t>Пожертвования храмам</t>
  </si>
  <si>
    <t>Пожертвования на благотворительность</t>
  </si>
  <si>
    <t>Чрезвычайный фонд</t>
  </si>
  <si>
    <t>Перевод в сбережения</t>
  </si>
  <si>
    <t>Пенсионные фонды (государственные и частные)</t>
  </si>
  <si>
    <t>Инвестиции</t>
  </si>
  <si>
    <t>Высшее образование</t>
  </si>
  <si>
    <t>Студенческий заем</t>
  </si>
  <si>
    <t>Прочие займы</t>
  </si>
  <si>
    <t>Кредитная карта 1</t>
  </si>
  <si>
    <t>Кредитная карта 2</t>
  </si>
  <si>
    <t>Кредитная карта 3</t>
  </si>
  <si>
    <t>Алименты и детские пособия</t>
  </si>
  <si>
    <t>Федеральные налоги</t>
  </si>
  <si>
    <t>Налог на имущество</t>
  </si>
  <si>
    <t>Местные налоги</t>
  </si>
  <si>
    <t>Арендная плата</t>
  </si>
  <si>
    <t>Гонорар адвоката</t>
  </si>
  <si>
    <t>Видео и DVD-диски</t>
  </si>
  <si>
    <t>Музыка</t>
  </si>
  <si>
    <t>Игры</t>
  </si>
  <si>
    <t>Прокат</t>
  </si>
  <si>
    <t>Кино и театр</t>
  </si>
  <si>
    <t>Концерты и матчи</t>
  </si>
  <si>
    <t>Хобби</t>
  </si>
  <si>
    <t>Фильмы и фотографии</t>
  </si>
  <si>
    <t>Спорт</t>
  </si>
  <si>
    <t>Отдых на природе</t>
  </si>
  <si>
    <t>Игрушки и гаджеты</t>
  </si>
  <si>
    <t>Питание</t>
  </si>
  <si>
    <t>Игрушки и сопутствующие товары</t>
  </si>
  <si>
    <t>Газеты</t>
  </si>
  <si>
    <t>Журналы</t>
  </si>
  <si>
    <t>Взносы</t>
  </si>
  <si>
    <t>Членство в клубах</t>
  </si>
  <si>
    <t>Проживание</t>
  </si>
  <si>
    <t>Прокат автомобиля</t>
  </si>
  <si>
    <t>Банковские сборы</t>
  </si>
  <si>
    <t>Почтовые расходы</t>
  </si>
  <si>
    <t>Период</t>
  </si>
  <si>
    <t>Янв.</t>
  </si>
  <si>
    <t>Февр.</t>
  </si>
  <si>
    <t>Март</t>
  </si>
  <si>
    <t>Апр.</t>
  </si>
  <si>
    <t>Май</t>
  </si>
  <si>
    <t>Июнь</t>
  </si>
  <si>
    <t>Июль</t>
  </si>
  <si>
    <t>Авг.</t>
  </si>
  <si>
    <t>Сент.</t>
  </si>
  <si>
    <t>Нояб.</t>
  </si>
  <si>
    <t>Дек.</t>
  </si>
  <si>
    <t>Год</t>
  </si>
  <si>
    <t>Ср.</t>
  </si>
  <si>
    <t>Начальная сумма</t>
  </si>
  <si>
    <t>Общие доходы</t>
  </si>
  <si>
    <t>Общие расходы</t>
  </si>
  <si>
    <t>Чистый доход</t>
  </si>
  <si>
    <t>ОБЩЕЕ ДВИЖЕНИЕ СРЕДСТВ</t>
  </si>
  <si>
    <t>ОБЩИЕ ДОХОДЫ</t>
  </si>
  <si>
    <t>Движение средств</t>
  </si>
  <si>
    <t>Окт.</t>
  </si>
  <si>
    <t>*** Этот лист должен оставаться скрытым ***</t>
  </si>
  <si>
    <t>Общий денежный поток</t>
  </si>
  <si>
    <t>Годовой приток денежного потока</t>
  </si>
  <si>
    <t>Годовой отток денежного потока</t>
  </si>
  <si>
    <t>Экстренная медицинская помощь</t>
  </si>
  <si>
    <t>Билеты</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</si>
</sst>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quot;р.&quot;"/>
  </numFmts>
  <fonts count="8">
    <font>
      <sz val="9"/>
      <color theme="1"/>
      <name val="Century Gothic"/>
      <family val="2"/>
      <scheme val="minor"/>
    </font>
    <font>
      <sz val="10"/>
      <color theme="0"/>
      <name val="Euphemia"/>
      <family val="2"/>
      <scheme val="major"/>
    </font>
    <font>
      <b/>
      <sz val="12"/>
      <color theme="5"/>
      <name val="Euphemia"/>
      <family val="2"/>
      <scheme val="major"/>
    </font>
    <font>
      <b/>
      <sz val="11"/>
      <color theme="0"/>
      <name val="Euphemia"/>
      <family val="2"/>
      <scheme val="major"/>
    </font>
    <font>
      <b/>
      <sz val="15"/>
      <color theme="4" tint="-0.249977111117893"/>
      <name val="Euphemia"/>
      <family val="2"/>
      <scheme val="major"/>
    </font>
    <font>
      <b/>
      <sz val="32"/>
      <color theme="4" tint="-0.249977111117893"/>
      <name val="Century Gothic"/>
      <family val="2"/>
      <scheme val="minor"/>
    </font>
    <font>
      <b/>
      <sz val="9"/>
      <color theme="0"/>
      <name val="Euphemia"/>
      <family val="2"/>
      <scheme val="major"/>
    </font>
    <font>
      <b/>
      <sz val="10"/>
      <color theme="0"/>
      <name val="Euphemia"/>
      <family val="2"/>
      <scheme val="major"/>
    </font>
  </fonts>
  <fills count="11">
    <fill>
      <patternFill patternType="none"/>
    </fill>
    <fill>
      <patternFill patternType="gray125"/>
    </fill>
    <fill>
      <patternFill patternType="solid">
        <fgColor theme="0"/>
        <bgColor indexed="64"/>
      </patternFill>
    </fill>
    <fill>
      <patternFill patternType="lightGrid">
        <fgColor theme="4" tint="0.59996337778862885"/>
        <bgColor theme="4" tint="0.79998168889431442"/>
      </patternFill>
    </fill>
    <fill>
      <patternFill patternType="solid">
        <fgColor theme="3"/>
        <bgColor auto="1"/>
      </patternFill>
    </fill>
    <fill>
      <patternFill patternType="solid">
        <fgColor theme="5"/>
        <bgColor indexed="64"/>
      </patternFill>
    </fill>
    <fill>
      <patternFill patternType="solid">
        <fgColor theme="0"/>
        <bgColor auto="1"/>
      </patternFill>
    </fill>
    <fill>
      <patternFill patternType="lightGrid">
        <fgColor theme="0"/>
        <bgColor theme="0"/>
      </patternFill>
    </fill>
    <fill>
      <patternFill patternType="solid">
        <fgColor theme="2" tint="-0.249977111117893"/>
        <bgColor indexed="64"/>
      </patternFill>
    </fill>
    <fill>
      <patternFill patternType="solid">
        <fgColor theme="2" tint="-0.249977111117893"/>
        <bgColor auto="1"/>
      </patternFill>
    </fill>
    <fill>
      <patternFill patternType="solid">
        <fgColor theme="2" tint="-0.249977111117893"/>
        <bgColor theme="2"/>
      </patternFill>
    </fill>
  </fills>
  <borders count="2">
    <border>
      <left/>
      <right/>
      <top/>
      <bottom/>
      <diagonal/>
    </border>
    <border>
      <left/>
      <right/>
      <top style="thick">
        <color theme="0"/>
      </top>
      <bottom/>
      <diagonal/>
    </border>
  </borders>
  <cellStyleXfs count="4">
    <xf numFmtId="0" fontId="0" fillId="0" borderId="0">
      <alignment vertical="center"/>
    </xf>
    <xf numFmtId="0" fontId="2" fillId="7" borderId="1">
      <alignment horizontal="right" vertical="center" indent="1"/>
    </xf>
    <xf numFmtId="0" fontId="4" fillId="0" borderId="0">
      <alignment vertical="center"/>
    </xf>
    <xf numFmtId="0" fontId="5" fillId="0" borderId="0">
      <alignment horizontal="right"/>
    </xf>
  </cellStyleXfs>
  <cellXfs count="40">
    <xf numFmtId="0" fontId="0" fillId="0" borderId="0" xfId="0">
      <alignment vertical="center"/>
    </xf>
    <xf numFmtId="3" fontId="0" fillId="0" borderId="0" xfId="0" applyNumberFormat="1">
      <alignment vertical="center"/>
    </xf>
    <xf numFmtId="0" fontId="0" fillId="0" borderId="0" xfId="0">
      <alignment vertical="center"/>
    </xf>
    <xf numFmtId="3" fontId="0" fillId="0" borderId="0" xfId="0" applyNumberFormat="1">
      <alignment vertical="center"/>
    </xf>
    <xf numFmtId="0" fontId="0" fillId="3" borderId="0" xfId="0" applyFill="1">
      <alignment vertical="center"/>
    </xf>
    <xf numFmtId="0" fontId="0" fillId="4" borderId="0" xfId="0" applyFill="1">
      <alignment vertical="center"/>
    </xf>
    <xf numFmtId="0" fontId="0" fillId="2" borderId="0" xfId="0" applyFill="1">
      <alignment vertical="center"/>
    </xf>
    <xf numFmtId="0" fontId="1" fillId="4" borderId="0" xfId="0" applyFont="1" applyFill="1" applyAlignment="1">
      <alignment horizontal="right" vertical="center"/>
    </xf>
    <xf numFmtId="0" fontId="1" fillId="4" borderId="0" xfId="0" applyFont="1" applyFill="1" applyAlignment="1">
      <alignment horizontal="left" vertical="center"/>
    </xf>
    <xf numFmtId="0" fontId="4" fillId="0" borderId="0" xfId="2">
      <alignment vertical="center"/>
    </xf>
    <xf numFmtId="0" fontId="6" fillId="4" borderId="0" xfId="0" applyFont="1" applyFill="1">
      <alignment vertical="center"/>
    </xf>
    <xf numFmtId="0" fontId="6" fillId="5" borderId="0" xfId="0" applyFont="1" applyFill="1" applyAlignment="1">
      <alignment horizontal="right" vertical="center" indent="1"/>
    </xf>
    <xf numFmtId="0" fontId="6" fillId="4" borderId="0" xfId="0" applyFont="1" applyFill="1" applyAlignment="1">
      <alignment horizontal="right" vertical="center" indent="1"/>
    </xf>
    <xf numFmtId="0" fontId="0" fillId="6" borderId="0" xfId="0" applyFill="1" applyAlignment="1">
      <alignment horizontal="right" vertical="center" indent="1"/>
    </xf>
    <xf numFmtId="0" fontId="0" fillId="0" borderId="0" xfId="0" applyAlignment="1">
      <alignment horizontal="right" vertical="center" indent="1"/>
    </xf>
    <xf numFmtId="1" fontId="0" fillId="0" borderId="0" xfId="0" applyNumberFormat="1">
      <alignment vertical="center"/>
    </xf>
    <xf numFmtId="1" fontId="0" fillId="0" borderId="1" xfId="0" applyNumberFormat="1" applyBorder="1">
      <alignment vertical="center"/>
    </xf>
    <xf numFmtId="1" fontId="0" fillId="0" borderId="0" xfId="0" applyNumberFormat="1" applyAlignment="1">
      <alignment horizontal="right" vertical="center" indent="1"/>
    </xf>
    <xf numFmtId="1" fontId="0" fillId="0" borderId="1" xfId="0" applyNumberFormat="1" applyBorder="1" applyAlignment="1">
      <alignment horizontal="right" vertical="center" indent="1"/>
    </xf>
    <xf numFmtId="0" fontId="2" fillId="7" borderId="1" xfId="1" applyAlignment="1">
      <alignment horizontal="right" vertical="center" indent="2"/>
    </xf>
    <xf numFmtId="0" fontId="0" fillId="0" borderId="0" xfId="0" applyAlignment="1">
      <alignment horizontal="left" vertical="center" indent="1"/>
    </xf>
    <xf numFmtId="0" fontId="0" fillId="0" borderId="0" xfId="0" applyAlignment="1">
      <alignment horizontal="left" vertical="center" indent="3"/>
    </xf>
    <xf numFmtId="0" fontId="7" fillId="4" borderId="0" xfId="0" applyFont="1" applyFill="1">
      <alignment vertical="center"/>
    </xf>
    <xf numFmtId="0" fontId="3" fillId="4" borderId="0" xfId="0" applyFont="1" applyFill="1">
      <alignment vertical="center"/>
    </xf>
    <xf numFmtId="0" fontId="3" fillId="4" borderId="0" xfId="0" applyFont="1" applyFill="1" applyAlignment="1">
      <alignment horizontal="right" vertical="center"/>
    </xf>
    <xf numFmtId="0" fontId="0" fillId="0" borderId="0" xfId="0" applyFont="1" applyFill="1" applyBorder="1" applyAlignment="1">
      <alignment horizontal="right" vertical="center" indent="1"/>
    </xf>
    <xf numFmtId="1" fontId="0" fillId="0" borderId="0" xfId="0" applyNumberFormat="1" applyFont="1" applyFill="1" applyBorder="1" applyAlignment="1">
      <alignment horizontal="right" vertical="center" indent="1"/>
    </xf>
    <xf numFmtId="0" fontId="0" fillId="9" borderId="0" xfId="0" applyFill="1">
      <alignment vertical="center"/>
    </xf>
    <xf numFmtId="0" fontId="0" fillId="10" borderId="0" xfId="0" applyFill="1">
      <alignment vertical="center"/>
    </xf>
    <xf numFmtId="1" fontId="0" fillId="8" borderId="0" xfId="0" applyNumberFormat="1" applyFont="1" applyFill="1" applyBorder="1" applyAlignment="1">
      <alignment horizontal="right" vertical="center" indent="1"/>
    </xf>
    <xf numFmtId="1" fontId="0" fillId="10" borderId="0" xfId="0" applyNumberFormat="1" applyFill="1">
      <alignment vertical="center"/>
    </xf>
    <xf numFmtId="1" fontId="0" fillId="10" borderId="1" xfId="0" applyNumberFormat="1" applyFill="1" applyBorder="1">
      <alignment vertical="center"/>
    </xf>
    <xf numFmtId="1" fontId="0" fillId="10" borderId="0" xfId="0" applyNumberFormat="1" applyFill="1" applyAlignment="1">
      <alignment horizontal="right" vertical="center" indent="1"/>
    </xf>
    <xf numFmtId="1" fontId="0" fillId="10" borderId="1" xfId="0" applyNumberFormat="1" applyFill="1" applyBorder="1" applyAlignment="1">
      <alignment horizontal="right" vertical="center" indent="1"/>
    </xf>
    <xf numFmtId="0" fontId="0" fillId="0" borderId="0" xfId="0" applyFont="1" applyAlignment="1">
      <alignment horizontal="right" vertical="center" indent="1"/>
    </xf>
    <xf numFmtId="0" fontId="0" fillId="0" borderId="0" xfId="0" applyFill="1" applyAlignment="1">
      <alignment vertical="center" wrapText="1"/>
    </xf>
    <xf numFmtId="164" fontId="0" fillId="0" borderId="0" xfId="0" applyNumberFormat="1">
      <alignment vertical="center"/>
    </xf>
    <xf numFmtId="164" fontId="5" fillId="0" borderId="0" xfId="3" applyNumberFormat="1">
      <alignment horizontal="right"/>
    </xf>
    <xf numFmtId="0" fontId="5" fillId="0" borderId="0" xfId="3">
      <alignment horizontal="right"/>
    </xf>
    <xf numFmtId="0" fontId="0" fillId="0" borderId="0" xfId="0" applyAlignment="1">
      <alignment horizontal="center" vertical="center"/>
    </xf>
  </cellXfs>
  <cellStyles count="4">
    <cellStyle name="Dashboard Labels" xfId="2"/>
    <cellStyle name="Dashboard Values" xfId="3"/>
    <cellStyle name="Table Title" xfId="1"/>
    <cellStyle name="Обычный" xfId="0" builtinId="0" customBuiltin="1"/>
  </cellStyles>
  <dxfs count="583">
    <dxf>
      <alignment horizontal="left" vertical="center" textRotation="0" wrapText="0" relative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alignment horizontal="left" vertical="center" textRotation="0" wrapText="0" relativeIndent="1" justifyLastLine="0" shrinkToFit="0" readingOrder="0"/>
    </dxf>
    <dxf>
      <fill>
        <patternFill>
          <bgColor theme="2" tint="-0.249977111117893"/>
        </patternFill>
      </fill>
    </dxf>
    <dxf>
      <numFmt numFmtId="3" formatCode="#,##0"/>
      <alignment horizontal="center" vertical="bottom" textRotation="0" wrapText="0" indent="0" justifyLastLine="0" shrinkToFit="0" readingOrder="0"/>
    </dxf>
    <dxf>
      <fill>
        <patternFill>
          <bgColor theme="2" tint="-0.249977111117893"/>
        </patternFill>
      </fill>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entury Gothic"/>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entury Gothic"/>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entury Gothic"/>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entury Gothic"/>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entury Gothic"/>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entury Gothic"/>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entury Gothic"/>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entury Gothic"/>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entury Gothic"/>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entury Gothic"/>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entury Gothic"/>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entury Gothic"/>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entury Gothic"/>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entury Gothic"/>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entury Gothic"/>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solid">
          <fgColor indexed="64"/>
          <bgColor theme="2" tint="-0.249977111117893"/>
        </patternFill>
      </fill>
      <alignment horizontal="right" vertical="center" textRotation="0" wrapText="0" indent="1" justifyLastLine="0" shrinkToFit="0" readingOrder="0"/>
      <border diagonalUp="0" diagonalDown="0" outline="0">
        <left/>
        <right/>
        <top/>
        <bottom/>
      </border>
    </dxf>
    <dxf>
      <fill>
        <patternFill>
          <bgColor theme="2" tint="-0.249977111117893"/>
        </patternFill>
      </fill>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numFmt numFmtId="1" formatCode="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9"/>
        <color theme="1"/>
        <name val="Century Gothic"/>
        <scheme val="minor"/>
      </font>
      <fill>
        <patternFill patternType="lightGrid">
          <fgColor theme="2"/>
          <bgColor theme="0" tint="-4.9989318521683403E-2"/>
        </patternFill>
      </fill>
      <border diagonalUp="0" diagonalDown="0" outline="0">
        <left/>
        <right/>
        <top/>
        <bottom/>
      </border>
    </dxf>
    <dxf>
      <font>
        <b/>
        <i val="0"/>
        <color theme="0"/>
      </font>
      <fill>
        <patternFill patternType="solid">
          <bgColor theme="5"/>
        </patternFill>
      </fill>
      <border>
        <bottom/>
      </border>
    </dxf>
    <dxf>
      <fill>
        <patternFill patternType="solid">
          <fgColor auto="1"/>
          <bgColor theme="0"/>
        </patternFill>
      </fill>
      <border>
        <horizontal style="thin">
          <color theme="4" tint="0.59996337778862885"/>
        </horizontal>
      </border>
    </dxf>
    <dxf>
      <font>
        <b/>
        <i val="0"/>
        <color theme="0"/>
      </font>
      <fill>
        <patternFill>
          <bgColor theme="5"/>
        </patternFill>
      </fill>
      <border>
        <bottom/>
      </border>
    </dxf>
    <dxf>
      <fill>
        <patternFill>
          <bgColor theme="4" tint="0.59996337778862885"/>
        </patternFill>
      </fill>
      <border>
        <horizontal style="thin">
          <color theme="4" tint="-0.24994659260841701"/>
        </horizontal>
      </border>
    </dxf>
    <dxf>
      <fill>
        <patternFill patternType="solid">
          <fgColor auto="1"/>
          <bgColor theme="2" tint="-9.9948118533890809E-2"/>
        </patternFill>
      </fill>
    </dxf>
    <dxf>
      <fill>
        <patternFill patternType="none">
          <bgColor auto="1"/>
        </patternFill>
      </fill>
    </dxf>
    <dxf>
      <font>
        <color theme="0"/>
      </font>
      <fill>
        <patternFill patternType="solid">
          <fgColor theme="4"/>
          <bgColor theme="4"/>
        </patternFill>
      </fill>
      <border>
        <left/>
        <right/>
        <top/>
        <bottom style="thin">
          <color theme="4"/>
        </bottom>
        <vertical/>
      </border>
    </dxf>
    <dxf>
      <font>
        <color theme="3"/>
      </font>
      <border diagonalUp="0" diagonalDown="0">
        <left/>
        <right/>
        <top/>
        <bottom/>
        <vertical/>
        <horizontal/>
      </border>
    </dxf>
  </dxfs>
  <tableStyles count="3" defaultTableStyle="Budget Tables" defaultPivotStyle="PivotStyleMedium3">
    <tableStyle name="Budget Tables" pivot="0" count="4">
      <tableStyleElement type="wholeTable" dxfId="582"/>
      <tableStyleElement type="headerRow" dxfId="581"/>
      <tableStyleElement type="firstColumn" dxfId="580"/>
      <tableStyleElement type="firstRowStripe" dxfId="579"/>
    </tableStyle>
    <tableStyle name="Other Custom Table Style" pivot="0" count="2">
      <tableStyleElement type="wholeTable" dxfId="578"/>
      <tableStyleElement type="headerRow" dxfId="577"/>
    </tableStyle>
    <tableStyle name="Setup Tables" pivot="0" count="2">
      <tableStyleElement type="wholeTable" dxfId="576"/>
      <tableStyleElement type="headerRow" dxfId="575"/>
    </tableStyle>
  </tableStyles>
  <colors>
    <mruColors>
      <color rgb="FFD0D9D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6852807192204405E-2"/>
          <c:y val="0.13836477987421383"/>
          <c:w val="0.92584758801701517"/>
          <c:h val="0.54652008121626305"/>
        </c:manualLayout>
      </c:layout>
      <c:lineChart>
        <c:grouping val="standard"/>
        <c:varyColors val="0"/>
        <c:ser>
          <c:idx val="0"/>
          <c:order val="0"/>
          <c:tx>
            <c:v>Cash Flow</c:v>
          </c:tx>
          <c:spPr>
            <a:ln w="25400">
              <a:solidFill>
                <a:schemeClr val="accent2"/>
              </a:solidFill>
            </a:ln>
          </c:spPr>
          <c:marker>
            <c:symbol val="none"/>
          </c:marker>
          <c:cat>
            <c:strRef>
              <c:f>'Данные диаграммы'!$C$6:$O$6</c:f>
              <c:strCache>
                <c:ptCount val="13"/>
                <c:pt idx="0">
                  <c:v>Янв.</c:v>
                </c:pt>
                <c:pt idx="1">
                  <c:v>Февр.</c:v>
                </c:pt>
                <c:pt idx="2">
                  <c:v>Март</c:v>
                </c:pt>
                <c:pt idx="3">
                  <c:v>Апр.</c:v>
                </c:pt>
                <c:pt idx="4">
                  <c:v>Май</c:v>
                </c:pt>
                <c:pt idx="5">
                  <c:v>Июнь</c:v>
                </c:pt>
                <c:pt idx="6">
                  <c:v>Июль</c:v>
                </c:pt>
                <c:pt idx="7">
                  <c:v>Авг.</c:v>
                </c:pt>
                <c:pt idx="8">
                  <c:v>Сент.</c:v>
                </c:pt>
                <c:pt idx="9">
                  <c:v>Окт.</c:v>
                </c:pt>
                <c:pt idx="10">
                  <c:v>Нояб.</c:v>
                </c:pt>
                <c:pt idx="11">
                  <c:v>Дек.</c:v>
                </c:pt>
                <c:pt idx="12">
                  <c:v>Год</c:v>
                </c:pt>
              </c:strCache>
            </c:strRef>
          </c:cat>
          <c:val>
            <c:numRef>
              <c:f>Бюджет!$C$8:$O$8</c:f>
              <c:numCache>
                <c:formatCode>0</c:formatCode>
                <c:ptCount val="13"/>
                <c:pt idx="0">
                  <c:v>-3714</c:v>
                </c:pt>
                <c:pt idx="1">
                  <c:v>3790</c:v>
                </c:pt>
                <c:pt idx="2">
                  <c:v>-1933</c:v>
                </c:pt>
                <c:pt idx="3">
                  <c:v>-1813</c:v>
                </c:pt>
                <c:pt idx="4">
                  <c:v>3532</c:v>
                </c:pt>
                <c:pt idx="5">
                  <c:v>-3593</c:v>
                </c:pt>
                <c:pt idx="6">
                  <c:v>-4243</c:v>
                </c:pt>
                <c:pt idx="7">
                  <c:v>1147</c:v>
                </c:pt>
                <c:pt idx="8">
                  <c:v>-1983</c:v>
                </c:pt>
                <c:pt idx="9">
                  <c:v>-1943</c:v>
                </c:pt>
                <c:pt idx="10">
                  <c:v>3942</c:v>
                </c:pt>
                <c:pt idx="11">
                  <c:v>-958</c:v>
                </c:pt>
                <c:pt idx="12">
                  <c:v>-7769</c:v>
                </c:pt>
              </c:numCache>
            </c:numRef>
          </c:val>
          <c:smooth val="0"/>
        </c:ser>
        <c:dLbls>
          <c:showLegendKey val="0"/>
          <c:showVal val="0"/>
          <c:showCatName val="0"/>
          <c:showSerName val="0"/>
          <c:showPercent val="0"/>
          <c:showBubbleSize val="0"/>
        </c:dLbls>
        <c:marker val="1"/>
        <c:smooth val="0"/>
        <c:axId val="193768448"/>
        <c:axId val="193787008"/>
      </c:lineChart>
      <c:scatterChart>
        <c:scatterStyle val="lineMarker"/>
        <c:varyColors val="0"/>
        <c:ser>
          <c:idx val="1"/>
          <c:order val="1"/>
          <c:tx>
            <c:v>Positive Selected Period</c:v>
          </c:tx>
          <c:spPr>
            <a:ln w="28575">
              <a:noFill/>
            </a:ln>
          </c:spPr>
          <c:marker>
            <c:symbol val="circle"/>
            <c:size val="11"/>
            <c:spPr>
              <a:solidFill>
                <a:schemeClr val="accent1"/>
              </a:solidFill>
              <a:ln>
                <a:noFill/>
              </a:ln>
            </c:spPr>
          </c:marker>
          <c:yVal>
            <c:numRef>
              <c:f>'Данные диаграммы'!$C$28:$O$28</c:f>
              <c:numCache>
                <c:formatCode>#,##0</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#N/A</c:v>
                </c:pt>
              </c:numCache>
            </c:numRef>
          </c:yVal>
          <c:smooth val="0"/>
        </c:ser>
        <c:ser>
          <c:idx val="2"/>
          <c:order val="2"/>
          <c:tx>
            <c:v>Negative Selected Period</c:v>
          </c:tx>
          <c:spPr>
            <a:ln w="28575">
              <a:noFill/>
            </a:ln>
          </c:spPr>
          <c:marker>
            <c:symbol val="circle"/>
            <c:size val="11"/>
            <c:spPr>
              <a:solidFill>
                <a:schemeClr val="accent2">
                  <a:lumMod val="60000"/>
                  <a:lumOff val="40000"/>
                </a:schemeClr>
              </a:solidFill>
              <a:ln>
                <a:noFill/>
              </a:ln>
            </c:spPr>
          </c:marker>
          <c:yVal>
            <c:numRef>
              <c:f>'Данные диаграммы'!$C$29:$O$29</c:f>
              <c:numCache>
                <c:formatCode>#,##0</c:formatCode>
                <c:ptCount val="13"/>
                <c:pt idx="0">
                  <c:v>#N/A</c:v>
                </c:pt>
                <c:pt idx="1">
                  <c:v>#N/A</c:v>
                </c:pt>
                <c:pt idx="2">
                  <c:v>-1933</c:v>
                </c:pt>
                <c:pt idx="3">
                  <c:v>#N/A</c:v>
                </c:pt>
                <c:pt idx="4">
                  <c:v>#N/A</c:v>
                </c:pt>
                <c:pt idx="5">
                  <c:v>#N/A</c:v>
                </c:pt>
                <c:pt idx="6">
                  <c:v>#N/A</c:v>
                </c:pt>
                <c:pt idx="7">
                  <c:v>#N/A</c:v>
                </c:pt>
                <c:pt idx="8">
                  <c:v>#N/A</c:v>
                </c:pt>
                <c:pt idx="9">
                  <c:v>#N/A</c:v>
                </c:pt>
                <c:pt idx="10">
                  <c:v>#N/A</c:v>
                </c:pt>
                <c:pt idx="11">
                  <c:v>#N/A</c:v>
                </c:pt>
                <c:pt idx="12">
                  <c:v>#N/A</c:v>
                </c:pt>
              </c:numCache>
            </c:numRef>
          </c:yVal>
          <c:smooth val="0"/>
        </c:ser>
        <c:dLbls>
          <c:showLegendKey val="0"/>
          <c:showVal val="0"/>
          <c:showCatName val="0"/>
          <c:showSerName val="0"/>
          <c:showPercent val="0"/>
          <c:showBubbleSize val="0"/>
        </c:dLbls>
        <c:axId val="193768448"/>
        <c:axId val="193787008"/>
      </c:scatterChart>
      <c:catAx>
        <c:axId val="193768448"/>
        <c:scaling>
          <c:orientation val="minMax"/>
        </c:scaling>
        <c:delete val="0"/>
        <c:axPos val="b"/>
        <c:numFmt formatCode="General" sourceLinked="1"/>
        <c:majorTickMark val="none"/>
        <c:minorTickMark val="none"/>
        <c:tickLblPos val="low"/>
        <c:spPr>
          <a:ln w="31750">
            <a:solidFill>
              <a:schemeClr val="bg1"/>
            </a:solidFill>
          </a:ln>
        </c:spPr>
        <c:txPr>
          <a:bodyPr/>
          <a:lstStyle/>
          <a:p>
            <a:pPr>
              <a:defRPr sz="900" b="1" kern="0" spc="50" baseline="0">
                <a:solidFill>
                  <a:schemeClr val="bg1"/>
                </a:solidFill>
                <a:latin typeface="+mj-lt"/>
              </a:defRPr>
            </a:pPr>
            <a:endParaRPr lang="ru-RU"/>
          </a:p>
        </c:txPr>
        <c:crossAx val="193787008"/>
        <c:crosses val="autoZero"/>
        <c:auto val="1"/>
        <c:lblAlgn val="ctr"/>
        <c:lblOffset val="100"/>
        <c:noMultiLvlLbl val="0"/>
      </c:catAx>
      <c:valAx>
        <c:axId val="193787008"/>
        <c:scaling>
          <c:orientation val="minMax"/>
        </c:scaling>
        <c:delete val="1"/>
        <c:axPos val="l"/>
        <c:numFmt formatCode="&quot;$&quot;#,##0" sourceLinked="0"/>
        <c:majorTickMark val="out"/>
        <c:minorTickMark val="none"/>
        <c:tickLblPos val="nextTo"/>
        <c:crossAx val="193768448"/>
        <c:crosses val="autoZero"/>
        <c:crossBetween val="between"/>
      </c:valAx>
    </c:plotArea>
    <c:plotVisOnly val="1"/>
    <c:dispBlanksAs val="gap"/>
    <c:showDLblsOverMax val="0"/>
  </c:chart>
  <c:spPr>
    <a:no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615979002624671"/>
          <c:y val="4.3889317756849025E-2"/>
          <c:w val="0.64796955380577426"/>
          <c:h val="0.83170775221724735"/>
        </c:manualLayout>
      </c:layout>
      <c:barChart>
        <c:barDir val="bar"/>
        <c:grouping val="clustered"/>
        <c:varyColors val="0"/>
        <c:ser>
          <c:idx val="0"/>
          <c:order val="0"/>
          <c:tx>
            <c:v>Expenses</c:v>
          </c:tx>
          <c:spPr>
            <a:solidFill>
              <a:schemeClr val="accent1">
                <a:lumMod val="75000"/>
              </a:schemeClr>
            </a:solidFill>
          </c:spPr>
          <c:invertIfNegative val="0"/>
          <c:cat>
            <c:strRef>
              <c:f>[0]!отображаемые_статьи_расходов</c:f>
              <c:strCache>
                <c:ptCount val="10"/>
                <c:pt idx="0">
                  <c:v>выплаты</c:v>
                </c:pt>
                <c:pt idx="1">
                  <c:v>сбережения</c:v>
                </c:pt>
                <c:pt idx="2">
                  <c:v>благотворительность</c:v>
                </c:pt>
                <c:pt idx="3">
                  <c:v>образование</c:v>
                </c:pt>
                <c:pt idx="4">
                  <c:v>страховка</c:v>
                </c:pt>
                <c:pt idx="5">
                  <c:v>здоровье</c:v>
                </c:pt>
                <c:pt idx="6">
                  <c:v>транспорт</c:v>
                </c:pt>
                <c:pt idx="7">
                  <c:v>дети</c:v>
                </c:pt>
                <c:pt idx="8">
                  <c:v>бытовые нужды</c:v>
                </c:pt>
                <c:pt idx="9">
                  <c:v>жилье</c:v>
                </c:pt>
              </c:strCache>
            </c:strRef>
          </c:cat>
          <c:val>
            <c:numRef>
              <c:f>[0]!значения_отображаемых_статей_расходов_за_период</c:f>
              <c:numCache>
                <c:formatCode>#,##0</c:formatCode>
                <c:ptCount val="10"/>
                <c:pt idx="0">
                  <c:v>200</c:v>
                </c:pt>
                <c:pt idx="1">
                  <c:v>800</c:v>
                </c:pt>
                <c:pt idx="2">
                  <c:v>100</c:v>
                </c:pt>
                <c:pt idx="3">
                  <c:v>625</c:v>
                </c:pt>
                <c:pt idx="4">
                  <c:v>975</c:v>
                </c:pt>
                <c:pt idx="5">
                  <c:v>175</c:v>
                </c:pt>
                <c:pt idx="6">
                  <c:v>925</c:v>
                </c:pt>
                <c:pt idx="7">
                  <c:v>350</c:v>
                </c:pt>
                <c:pt idx="8">
                  <c:v>550</c:v>
                </c:pt>
                <c:pt idx="9">
                  <c:v>1233</c:v>
                </c:pt>
              </c:numCache>
            </c:numRef>
          </c:val>
        </c:ser>
        <c:dLbls>
          <c:showLegendKey val="0"/>
          <c:showVal val="0"/>
          <c:showCatName val="0"/>
          <c:showSerName val="0"/>
          <c:showPercent val="0"/>
          <c:showBubbleSize val="0"/>
        </c:dLbls>
        <c:gapWidth val="101"/>
        <c:axId val="193872256"/>
        <c:axId val="193873792"/>
      </c:barChart>
      <c:catAx>
        <c:axId val="193872256"/>
        <c:scaling>
          <c:orientation val="minMax"/>
        </c:scaling>
        <c:delete val="0"/>
        <c:axPos val="l"/>
        <c:numFmt formatCode="General" sourceLinked="0"/>
        <c:majorTickMark val="none"/>
        <c:minorTickMark val="none"/>
        <c:tickLblPos val="nextTo"/>
        <c:spPr>
          <a:ln>
            <a:solidFill>
              <a:schemeClr val="tx1">
                <a:lumMod val="50000"/>
                <a:lumOff val="50000"/>
              </a:schemeClr>
            </a:solidFill>
          </a:ln>
        </c:spPr>
        <c:txPr>
          <a:bodyPr/>
          <a:lstStyle/>
          <a:p>
            <a:pPr>
              <a:defRPr sz="950" b="1" kern="0" spc="100" baseline="0">
                <a:solidFill>
                  <a:schemeClr val="tx2"/>
                </a:solidFill>
                <a:latin typeface="+mj-lt"/>
              </a:defRPr>
            </a:pPr>
            <a:endParaRPr lang="ru-RU"/>
          </a:p>
        </c:txPr>
        <c:crossAx val="193873792"/>
        <c:crosses val="autoZero"/>
        <c:auto val="1"/>
        <c:lblAlgn val="ctr"/>
        <c:lblOffset val="100"/>
        <c:noMultiLvlLbl val="0"/>
      </c:catAx>
      <c:valAx>
        <c:axId val="193873792"/>
        <c:scaling>
          <c:orientation val="minMax"/>
        </c:scaling>
        <c:delete val="0"/>
        <c:axPos val="b"/>
        <c:majorGridlines>
          <c:spPr>
            <a:ln>
              <a:solidFill>
                <a:schemeClr val="tx1">
                  <a:lumMod val="50000"/>
                  <a:lumOff val="50000"/>
                </a:schemeClr>
              </a:solidFill>
            </a:ln>
          </c:spPr>
        </c:majorGridlines>
        <c:numFmt formatCode="0" sourceLinked="0"/>
        <c:majorTickMark val="none"/>
        <c:minorTickMark val="none"/>
        <c:tickLblPos val="nextTo"/>
        <c:spPr>
          <a:ln>
            <a:solidFill>
              <a:schemeClr val="tx1">
                <a:lumMod val="50000"/>
                <a:lumOff val="50000"/>
              </a:schemeClr>
            </a:solidFill>
          </a:ln>
        </c:spPr>
        <c:txPr>
          <a:bodyPr/>
          <a:lstStyle/>
          <a:p>
            <a:pPr>
              <a:defRPr sz="900" b="1" kern="0" spc="100" baseline="0">
                <a:solidFill>
                  <a:schemeClr val="tx2"/>
                </a:solidFill>
                <a:latin typeface="+mj-lt"/>
              </a:defRPr>
            </a:pPr>
            <a:endParaRPr lang="ru-RU"/>
          </a:p>
        </c:txPr>
        <c:crossAx val="193872256"/>
        <c:crosses val="autoZero"/>
        <c:crossBetween val="between"/>
      </c:valAx>
      <c:spPr>
        <a:gradFill>
          <a:gsLst>
            <a:gs pos="3000">
              <a:schemeClr val="bg1">
                <a:lumMod val="95000"/>
                <a:alpha val="40000"/>
              </a:schemeClr>
            </a:gs>
            <a:gs pos="100000">
              <a:schemeClr val="accent1">
                <a:lumMod val="100000"/>
                <a:alpha val="40000"/>
              </a:schemeClr>
            </a:gs>
          </a:gsLst>
          <a:lin ang="5400000" scaled="0"/>
        </a:gradFill>
      </c:spPr>
    </c:plotArea>
    <c:plotVisOnly val="1"/>
    <c:dispBlanksAs val="gap"/>
    <c:showDLblsOverMax val="0"/>
  </c:chart>
  <c:spPr>
    <a:noFill/>
    <a:ln>
      <a:noFill/>
    </a:ln>
  </c:spPr>
  <c:printSettings>
    <c:headerFooter/>
    <c:pageMargins b="0.75" l="0.7" r="0.7" t="0.75" header="0.3" footer="0.3"/>
    <c:pageSetup/>
  </c:printSettings>
</c:chartSpace>
</file>

<file path=xl/ctrlProps/ctrlProp1.xml><?xml version="1.0" encoding="utf-8"?>
<formControlPr xmlns="http://schemas.microsoft.com/office/spreadsheetml/2009/9/main" objectType="Scroll" dx="16" fmlaLink="период" horiz="1" max="13" min="1" page="0" val="3"/>
</file>

<file path=xl/drawings/_rels/drawing1.xml.rels><?xml version="1.0" encoding="UTF-8" standalone="yes"?>
<Relationships xmlns="http://schemas.openxmlformats.org/package/2006/relationships"><Relationship Id="rId3" Type="http://schemas.openxmlformats.org/officeDocument/2006/relationships/hyperlink" Target="#&#1041;&#1102;&#1076;&#1078;&#1077;&#1090;!A1"/><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hyperlink" Target="#&#1059;&#1089;&#1090;&#1072;&#1085;&#1086;&#1074;&#1082;&#1072;!A1"/></Relationships>
</file>

<file path=xl/drawings/_rels/drawing2.xml.rels><?xml version="1.0" encoding="UTF-8" standalone="yes"?>
<Relationships xmlns="http://schemas.openxmlformats.org/package/2006/relationships"><Relationship Id="rId1" Type="http://schemas.openxmlformats.org/officeDocument/2006/relationships/hyperlink" Target="#'&#1050;&#1088;&#1072;&#1090;&#1082;&#1072;&#1103; &#1089;&#1074;&#1086;&#1076;&#1082;&#1072;'!A1"/></Relationships>
</file>

<file path=xl/drawings/_rels/drawing3.xml.rels><?xml version="1.0" encoding="UTF-8" standalone="yes"?>
<Relationships xmlns="http://schemas.openxmlformats.org/package/2006/relationships"><Relationship Id="rId1" Type="http://schemas.openxmlformats.org/officeDocument/2006/relationships/hyperlink" Target="#'&#1050;&#1088;&#1072;&#1090;&#1082;&#1072;&#1103; &#1089;&#1074;&#1086;&#1076;&#1082;&#1072;'!A1"/></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104775</xdr:rowOff>
    </xdr:from>
    <xdr:to>
      <xdr:col>13</xdr:col>
      <xdr:colOff>609599</xdr:colOff>
      <xdr:row>23</xdr:row>
      <xdr:rowOff>57150</xdr:rowOff>
    </xdr:to>
    <xdr:graphicFrame macro="">
      <xdr:nvGraphicFramePr>
        <xdr:cNvPr id="13" name="Сведения о движении денежных средств за год" descr="Line chart comparing доход to expenses for 12 months." title="Cash flow detail"/>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xdr:from>
          <xdr:col>0</xdr:col>
          <xdr:colOff>0</xdr:colOff>
          <xdr:row>24</xdr:row>
          <xdr:rowOff>0</xdr:rowOff>
        </xdr:from>
        <xdr:to>
          <xdr:col>16383</xdr:col>
          <xdr:colOff>0</xdr:colOff>
          <xdr:row>1048575</xdr:row>
          <xdr:rowOff>0</xdr:rowOff>
        </xdr:to>
        <xdr:sp macro="" textlink="">
          <xdr:nvSpPr>
            <xdr:cNvPr id="4098" name="Прокрутка месяца" hidden="1">
              <a:extLst>
                <a:ext uri="{63B3BB69-23CF-44E3-9099-C40C66FF867C}">
                  <a14:compatExt spid="_x0000_s4098"/>
                </a:ext>
              </a:extLst>
            </xdr:cNvPr>
            <xdr:cNvSpPr/>
          </xdr:nvSpPr>
          <xdr:spPr>
            <a:xfrm>
              <a:off x="0" y="0"/>
              <a:ext cx="0" cy="0"/>
            </a:xfrm>
            <a:prstGeom prst="rect">
              <a:avLst/>
            </a:prstGeom>
          </xdr:spPr>
        </xdr:sp>
        <xdr:clientData fPrintsWithSheet="0"/>
      </xdr:twoCellAnchor>
    </mc:Choice>
    <mc:Fallback/>
  </mc:AlternateContent>
  <xdr:twoCellAnchor>
    <xdr:from>
      <xdr:col>5</xdr:col>
      <xdr:colOff>333375</xdr:colOff>
      <xdr:row>2</xdr:row>
      <xdr:rowOff>47626</xdr:rowOff>
    </xdr:from>
    <xdr:to>
      <xdr:col>14</xdr:col>
      <xdr:colOff>238125</xdr:colOff>
      <xdr:row>16</xdr:row>
      <xdr:rowOff>57150</xdr:rowOff>
    </xdr:to>
    <xdr:graphicFrame macro="">
      <xdr:nvGraphicFramePr>
        <xdr:cNvPr id="6" name="Сведения о расходах" descr="Bar chart showing a breakdown of expenses by category." title="Сведения о расходах"/>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461012</xdr:colOff>
      <xdr:row>0</xdr:row>
      <xdr:rowOff>4762</xdr:rowOff>
    </xdr:from>
    <xdr:to>
      <xdr:col>3</xdr:col>
      <xdr:colOff>495300</xdr:colOff>
      <xdr:row>2</xdr:row>
      <xdr:rowOff>114299</xdr:rowOff>
    </xdr:to>
    <xdr:grpSp>
      <xdr:nvGrpSpPr>
        <xdr:cNvPr id="40" name="Рисунок обзора месяца" descr="&quot;&quot;" title="Monthly Overview artwork"/>
        <xdr:cNvGrpSpPr/>
      </xdr:nvGrpSpPr>
      <xdr:grpSpPr>
        <a:xfrm>
          <a:off x="461012" y="4762"/>
          <a:ext cx="2034538" cy="728662"/>
          <a:chOff x="522042" y="4762"/>
          <a:chExt cx="1354386" cy="757237"/>
        </a:xfrm>
      </xdr:grpSpPr>
      <xdr:sp macro="" textlink="">
        <xdr:nvSpPr>
          <xdr:cNvPr id="23" name="Пятиугольник 22"/>
          <xdr:cNvSpPr/>
        </xdr:nvSpPr>
        <xdr:spPr>
          <a:xfrm rot="5400000">
            <a:off x="820616" y="-293812"/>
            <a:ext cx="757237" cy="1354386"/>
          </a:xfrm>
          <a:prstGeom prst="homePlate">
            <a:avLst>
              <a:gd name="adj" fmla="val 21582"/>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t"/>
          <a:lstStyle/>
          <a:p>
            <a:pPr algn="l"/>
            <a:endParaRPr lang="en-US" sz="1100"/>
          </a:p>
        </xdr:txBody>
      </xdr:sp>
      <xdr:grpSp>
        <xdr:nvGrpSpPr>
          <xdr:cNvPr id="25" name="Группа 24"/>
          <xdr:cNvGrpSpPr/>
        </xdr:nvGrpSpPr>
        <xdr:grpSpPr>
          <a:xfrm>
            <a:off x="528309" y="123825"/>
            <a:ext cx="1337664" cy="466725"/>
            <a:chOff x="680709" y="104775"/>
            <a:chExt cx="1337664" cy="466725"/>
          </a:xfrm>
        </xdr:grpSpPr>
        <xdr:sp macro="" textlink="'Данные диаграммы'!B37">
          <xdr:nvSpPr>
            <xdr:cNvPr id="24" name="Надпись 23"/>
            <xdr:cNvSpPr txBox="1"/>
          </xdr:nvSpPr>
          <xdr:spPr>
            <a:xfrm>
              <a:off x="680709" y="104775"/>
              <a:ext cx="1337664"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fld id="{BBAD2830-67D4-49A6-892D-796766AF9AC7}" type="TxLink">
                <a:rPr lang="en-US" sz="1500" b="1" i="0" u="none" strike="noStrike" spc="50" baseline="0">
                  <a:solidFill>
                    <a:schemeClr val="bg1"/>
                  </a:solidFill>
                  <a:latin typeface="+mj-lt"/>
                </a:rPr>
                <a:pPr algn="ctr"/>
                <a:t>Март</a:t>
              </a:fld>
              <a:endParaRPr lang="en-US" sz="1500" b="1" spc="50" baseline="0">
                <a:solidFill>
                  <a:schemeClr val="bg1"/>
                </a:solidFill>
                <a:latin typeface="+mj-lt"/>
              </a:endParaRPr>
            </a:p>
          </xdr:txBody>
        </xdr:sp>
        <xdr:sp macro="" textlink="">
          <xdr:nvSpPr>
            <xdr:cNvPr id="99" name="Надпись 98"/>
            <xdr:cNvSpPr txBox="1"/>
          </xdr:nvSpPr>
          <xdr:spPr>
            <a:xfrm>
              <a:off x="680709" y="333375"/>
              <a:ext cx="1337664"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r>
                <a:rPr lang="az-Cyrl-AZ" sz="1500" b="1" spc="50" baseline="0">
                  <a:solidFill>
                    <a:schemeClr val="bg1"/>
                  </a:solidFill>
                  <a:latin typeface="+mj-lt"/>
                </a:rPr>
                <a:t>Общие сведения</a:t>
              </a:r>
              <a:endParaRPr lang="en-US" sz="1500" b="1" spc="50" baseline="0">
                <a:solidFill>
                  <a:schemeClr val="bg1"/>
                </a:solidFill>
                <a:latin typeface="+mj-lt"/>
              </a:endParaRPr>
            </a:p>
          </xdr:txBody>
        </xdr:sp>
      </xdr:grpSp>
    </xdr:grpSp>
    <xdr:clientData/>
  </xdr:twoCellAnchor>
  <xdr:twoCellAnchor>
    <xdr:from>
      <xdr:col>4</xdr:col>
      <xdr:colOff>467770</xdr:colOff>
      <xdr:row>2</xdr:row>
      <xdr:rowOff>85725</xdr:rowOff>
    </xdr:from>
    <xdr:to>
      <xdr:col>6</xdr:col>
      <xdr:colOff>95250</xdr:colOff>
      <xdr:row>14</xdr:row>
      <xdr:rowOff>161925</xdr:rowOff>
    </xdr:to>
    <xdr:grpSp>
      <xdr:nvGrpSpPr>
        <xdr:cNvPr id="39" name="Группа расходов" descr="&quot;&quot;" title="Expenses bracket"/>
        <xdr:cNvGrpSpPr/>
      </xdr:nvGrpSpPr>
      <xdr:grpSpPr>
        <a:xfrm>
          <a:off x="3306220" y="704850"/>
          <a:ext cx="1199105" cy="2447925"/>
          <a:chOff x="3257550" y="752475"/>
          <a:chExt cx="962025" cy="2600325"/>
        </a:xfrm>
      </xdr:grpSpPr>
      <xdr:cxnSp macro="">
        <xdr:nvCxnSpPr>
          <xdr:cNvPr id="33" name="Прямая соединительная линия 32"/>
          <xdr:cNvCxnSpPr/>
        </xdr:nvCxnSpPr>
        <xdr:spPr>
          <a:xfrm>
            <a:off x="3810000" y="752475"/>
            <a:ext cx="0" cy="2600325"/>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6" name="Прямая соединительная линия 35"/>
          <xdr:cNvCxnSpPr/>
        </xdr:nvCxnSpPr>
        <xdr:spPr>
          <a:xfrm>
            <a:off x="3800475" y="771525"/>
            <a:ext cx="419100" cy="0"/>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9" name="Прямая соединительная линия 118"/>
          <xdr:cNvCxnSpPr/>
        </xdr:nvCxnSpPr>
        <xdr:spPr>
          <a:xfrm>
            <a:off x="3790950" y="3343275"/>
            <a:ext cx="419100" cy="0"/>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20" name="Прямая соединительная линия 119"/>
          <xdr:cNvCxnSpPr/>
        </xdr:nvCxnSpPr>
        <xdr:spPr>
          <a:xfrm>
            <a:off x="3257550" y="2019300"/>
            <a:ext cx="548640" cy="0"/>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1</xdr:col>
      <xdr:colOff>288420</xdr:colOff>
      <xdr:row>17</xdr:row>
      <xdr:rowOff>2647</xdr:rowOff>
    </xdr:from>
    <xdr:ext cx="1921379" cy="267637"/>
    <xdr:sp macro="" textlink="">
      <xdr:nvSpPr>
        <xdr:cNvPr id="125" name="Сведения о движении денежных средств">
          <a:hlinkClick xmlns:r="http://schemas.openxmlformats.org/officeDocument/2006/relationships" r:id="rId3" tooltip="Просмотреть сведения о бюджете"/>
        </xdr:cNvPr>
        <xdr:cNvSpPr txBox="1"/>
      </xdr:nvSpPr>
      <xdr:spPr>
        <a:xfrm>
          <a:off x="793245" y="3707872"/>
          <a:ext cx="1921379" cy="267637"/>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91440" tIns="0" rIns="91440" bIns="45720" rtlCol="0" anchor="ctr" anchorCtr="1">
          <a:noAutofit/>
        </a:bodyPr>
        <a:lstStyle/>
        <a:p>
          <a:pPr algn="ctr"/>
          <a:r>
            <a:rPr lang="az-Cyrl-AZ" sz="1275" b="1" spc="40" baseline="0">
              <a:solidFill>
                <a:schemeClr val="bg1"/>
              </a:solidFill>
              <a:latin typeface="+mj-lt"/>
            </a:rPr>
            <a:t>Сведения о бюджете</a:t>
          </a:r>
          <a:endParaRPr lang="en-US" sz="1275" b="1" spc="40" baseline="0">
            <a:solidFill>
              <a:schemeClr val="bg1"/>
            </a:solidFill>
            <a:latin typeface="+mj-lt"/>
          </a:endParaRPr>
        </a:p>
      </xdr:txBody>
    </xdr:sp>
    <xdr:clientData/>
  </xdr:oneCellAnchor>
  <xdr:twoCellAnchor>
    <xdr:from>
      <xdr:col>0</xdr:col>
      <xdr:colOff>466727</xdr:colOff>
      <xdr:row>16</xdr:row>
      <xdr:rowOff>104784</xdr:rowOff>
    </xdr:from>
    <xdr:to>
      <xdr:col>1</xdr:col>
      <xdr:colOff>373382</xdr:colOff>
      <xdr:row>18</xdr:row>
      <xdr:rowOff>154314</xdr:rowOff>
    </xdr:to>
    <xdr:sp macro="" textlink="">
      <xdr:nvSpPr>
        <xdr:cNvPr id="127" name="Прямоугольник 54"/>
        <xdr:cNvSpPr>
          <a:spLocks noChangeArrowheads="1"/>
        </xdr:cNvSpPr>
      </xdr:nvSpPr>
      <xdr:spPr bwMode="auto">
        <a:xfrm>
          <a:off x="466727" y="3629034"/>
          <a:ext cx="411480" cy="411480"/>
        </a:xfrm>
        <a:prstGeom prst="rect">
          <a:avLst/>
        </a:prstGeom>
        <a:noFill/>
        <a:ln w="0">
          <a:noFill/>
          <a:prstDash val="solid"/>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7</xdr:col>
      <xdr:colOff>552448</xdr:colOff>
      <xdr:row>0</xdr:row>
      <xdr:rowOff>28575</xdr:rowOff>
    </xdr:from>
    <xdr:to>
      <xdr:col>14</xdr:col>
      <xdr:colOff>409573</xdr:colOff>
      <xdr:row>0</xdr:row>
      <xdr:rowOff>400050</xdr:rowOff>
    </xdr:to>
    <xdr:sp macro="" textlink="">
      <xdr:nvSpPr>
        <xdr:cNvPr id="2" name="Фамилия" descr="&quot;&quot;" title="Click here to personalize this template for your family">
          <a:hlinkClick xmlns:r="http://schemas.openxmlformats.org/officeDocument/2006/relationships" r:id="rId4" tooltip="Настроить этот шаблон для своей семьи"/>
        </xdr:cNvPr>
        <xdr:cNvSpPr/>
      </xdr:nvSpPr>
      <xdr:spPr>
        <a:xfrm>
          <a:off x="4714873" y="28575"/>
          <a:ext cx="4124325" cy="371475"/>
        </a:xfrm>
        <a:custGeom>
          <a:avLst/>
          <a:gdLst>
            <a:gd name="connsiteX0" fmla="*/ 0 w 3686175"/>
            <a:gd name="connsiteY0" fmla="*/ 0 h 352425"/>
            <a:gd name="connsiteX1" fmla="*/ 3686175 w 3686175"/>
            <a:gd name="connsiteY1" fmla="*/ 0 h 352425"/>
            <a:gd name="connsiteX2" fmla="*/ 3686175 w 3686175"/>
            <a:gd name="connsiteY2" fmla="*/ 352425 h 352425"/>
            <a:gd name="connsiteX3" fmla="*/ 0 w 3686175"/>
            <a:gd name="connsiteY3" fmla="*/ 352425 h 352425"/>
            <a:gd name="connsiteX4" fmla="*/ 0 w 3686175"/>
            <a:gd name="connsiteY4" fmla="*/ 0 h 352425"/>
            <a:gd name="connsiteX0" fmla="*/ 428625 w 4114800"/>
            <a:gd name="connsiteY0" fmla="*/ 0 h 352425"/>
            <a:gd name="connsiteX1" fmla="*/ 4114800 w 4114800"/>
            <a:gd name="connsiteY1" fmla="*/ 0 h 352425"/>
            <a:gd name="connsiteX2" fmla="*/ 4114800 w 4114800"/>
            <a:gd name="connsiteY2" fmla="*/ 352425 h 352425"/>
            <a:gd name="connsiteX3" fmla="*/ 0 w 4114800"/>
            <a:gd name="connsiteY3" fmla="*/ 323850 h 352425"/>
            <a:gd name="connsiteX4" fmla="*/ 428625 w 4114800"/>
            <a:gd name="connsiteY4" fmla="*/ 0 h 352425"/>
            <a:gd name="connsiteX0" fmla="*/ 0 w 4124325"/>
            <a:gd name="connsiteY0" fmla="*/ 0 h 371475"/>
            <a:gd name="connsiteX1" fmla="*/ 4124325 w 4124325"/>
            <a:gd name="connsiteY1" fmla="*/ 19050 h 371475"/>
            <a:gd name="connsiteX2" fmla="*/ 4124325 w 4124325"/>
            <a:gd name="connsiteY2" fmla="*/ 371475 h 371475"/>
            <a:gd name="connsiteX3" fmla="*/ 9525 w 4124325"/>
            <a:gd name="connsiteY3" fmla="*/ 342900 h 371475"/>
            <a:gd name="connsiteX4" fmla="*/ 0 w 4124325"/>
            <a:gd name="connsiteY4" fmla="*/ 0 h 3714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124325" h="371475">
              <a:moveTo>
                <a:pt x="0" y="0"/>
              </a:moveTo>
              <a:lnTo>
                <a:pt x="4124325" y="19050"/>
              </a:lnTo>
              <a:lnTo>
                <a:pt x="4124325" y="371475"/>
              </a:lnTo>
              <a:lnTo>
                <a:pt x="9525" y="342900"/>
              </a:lnTo>
              <a:lnTo>
                <a:pt x="0" y="0"/>
              </a:lnTo>
              <a:close/>
            </a:path>
          </a:pathLst>
        </a:cu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j-lt"/>
          </a:endParaRPr>
        </a:p>
      </xdr:txBody>
    </xdr:sp>
    <xdr:clientData/>
  </xdr:twoCellAnchor>
  <xdr:twoCellAnchor>
    <xdr:from>
      <xdr:col>0</xdr:col>
      <xdr:colOff>457200</xdr:colOff>
      <xdr:row>16</xdr:row>
      <xdr:rowOff>112132</xdr:rowOff>
    </xdr:from>
    <xdr:to>
      <xdr:col>1</xdr:col>
      <xdr:colOff>466725</xdr:colOff>
      <xdr:row>18</xdr:row>
      <xdr:rowOff>154314</xdr:rowOff>
    </xdr:to>
    <xdr:grpSp>
      <xdr:nvGrpSpPr>
        <xdr:cNvPr id="3" name="Группа 2"/>
        <xdr:cNvGrpSpPr/>
      </xdr:nvGrpSpPr>
      <xdr:grpSpPr>
        <a:xfrm>
          <a:off x="457200" y="3464932"/>
          <a:ext cx="514350" cy="404132"/>
          <a:chOff x="457200" y="3636382"/>
          <a:chExt cx="514350" cy="404132"/>
        </a:xfrm>
      </xdr:grpSpPr>
      <xdr:sp macro="" textlink="">
        <xdr:nvSpPr>
          <xdr:cNvPr id="128" name="Полилиния 55"/>
          <xdr:cNvSpPr>
            <a:spLocks/>
          </xdr:cNvSpPr>
        </xdr:nvSpPr>
        <xdr:spPr bwMode="auto">
          <a:xfrm>
            <a:off x="466727" y="3636382"/>
            <a:ext cx="404132" cy="404132"/>
          </a:xfrm>
          <a:custGeom>
            <a:avLst/>
            <a:gdLst>
              <a:gd name="T0" fmla="*/ 1676 w 3245"/>
              <a:gd name="T1" fmla="*/ 19 h 3231"/>
              <a:gd name="T2" fmla="*/ 2102 w 3245"/>
              <a:gd name="T3" fmla="*/ 90 h 3231"/>
              <a:gd name="T4" fmla="*/ 2170 w 3245"/>
              <a:gd name="T5" fmla="*/ 96 h 3231"/>
              <a:gd name="T6" fmla="*/ 2278 w 3245"/>
              <a:gd name="T7" fmla="*/ 421 h 3231"/>
              <a:gd name="T8" fmla="*/ 2608 w 3245"/>
              <a:gd name="T9" fmla="*/ 337 h 3231"/>
              <a:gd name="T10" fmla="*/ 2651 w 3245"/>
              <a:gd name="T11" fmla="*/ 391 h 3231"/>
              <a:gd name="T12" fmla="*/ 2941 w 3245"/>
              <a:gd name="T13" fmla="*/ 711 h 3231"/>
              <a:gd name="T14" fmla="*/ 2993 w 3245"/>
              <a:gd name="T15" fmla="*/ 758 h 3231"/>
              <a:gd name="T16" fmla="*/ 2879 w 3245"/>
              <a:gd name="T17" fmla="*/ 1074 h 3231"/>
              <a:gd name="T18" fmla="*/ 3192 w 3245"/>
              <a:gd name="T19" fmla="*/ 1212 h 3231"/>
              <a:gd name="T20" fmla="*/ 3192 w 3245"/>
              <a:gd name="T21" fmla="*/ 1280 h 3231"/>
              <a:gd name="T22" fmla="*/ 3232 w 3245"/>
              <a:gd name="T23" fmla="*/ 1712 h 3231"/>
              <a:gd name="T24" fmla="*/ 3241 w 3245"/>
              <a:gd name="T25" fmla="*/ 1780 h 3231"/>
              <a:gd name="T26" fmla="*/ 2950 w 3245"/>
              <a:gd name="T27" fmla="*/ 1957 h 3231"/>
              <a:gd name="T28" fmla="*/ 3120 w 3245"/>
              <a:gd name="T29" fmla="*/ 2261 h 3231"/>
              <a:gd name="T30" fmla="*/ 3079 w 3245"/>
              <a:gd name="T31" fmla="*/ 2316 h 3231"/>
              <a:gd name="T32" fmla="*/ 2841 w 3245"/>
              <a:gd name="T33" fmla="*/ 2684 h 3231"/>
              <a:gd name="T34" fmla="*/ 2808 w 3245"/>
              <a:gd name="T35" fmla="*/ 2744 h 3231"/>
              <a:gd name="T36" fmla="*/ 2472 w 3245"/>
              <a:gd name="T37" fmla="*/ 2714 h 3231"/>
              <a:gd name="T38" fmla="*/ 2414 w 3245"/>
              <a:gd name="T39" fmla="*/ 3047 h 3231"/>
              <a:gd name="T40" fmla="*/ 2348 w 3245"/>
              <a:gd name="T41" fmla="*/ 3064 h 3231"/>
              <a:gd name="T42" fmla="*/ 1938 w 3245"/>
              <a:gd name="T43" fmla="*/ 3203 h 3231"/>
              <a:gd name="T44" fmla="*/ 1886 w 3245"/>
              <a:gd name="T45" fmla="*/ 3230 h 3231"/>
              <a:gd name="T46" fmla="*/ 1838 w 3245"/>
              <a:gd name="T47" fmla="*/ 3217 h 3231"/>
              <a:gd name="T48" fmla="*/ 1405 w 3245"/>
              <a:gd name="T49" fmla="*/ 3220 h 3231"/>
              <a:gd name="T50" fmla="*/ 1336 w 3245"/>
              <a:gd name="T51" fmla="*/ 3224 h 3231"/>
              <a:gd name="T52" fmla="*/ 1176 w 3245"/>
              <a:gd name="T53" fmla="*/ 2926 h 3231"/>
              <a:gd name="T54" fmla="*/ 864 w 3245"/>
              <a:gd name="T55" fmla="*/ 3064 h 3231"/>
              <a:gd name="T56" fmla="*/ 813 w 3245"/>
              <a:gd name="T57" fmla="*/ 3018 h 3231"/>
              <a:gd name="T58" fmla="*/ 476 w 3245"/>
              <a:gd name="T59" fmla="*/ 2756 h 3231"/>
              <a:gd name="T60" fmla="*/ 419 w 3245"/>
              <a:gd name="T61" fmla="*/ 2718 h 3231"/>
              <a:gd name="T62" fmla="*/ 479 w 3245"/>
              <a:gd name="T63" fmla="*/ 2379 h 3231"/>
              <a:gd name="T64" fmla="*/ 140 w 3245"/>
              <a:gd name="T65" fmla="*/ 2294 h 3231"/>
              <a:gd name="T66" fmla="*/ 128 w 3245"/>
              <a:gd name="T67" fmla="*/ 2226 h 3231"/>
              <a:gd name="T68" fmla="*/ 24 w 3245"/>
              <a:gd name="T69" fmla="*/ 1810 h 3231"/>
              <a:gd name="T70" fmla="*/ 1 w 3245"/>
              <a:gd name="T71" fmla="*/ 1744 h 3231"/>
              <a:gd name="T72" fmla="*/ 257 w 3245"/>
              <a:gd name="T73" fmla="*/ 1506 h 3231"/>
              <a:gd name="T74" fmla="*/ 45 w 3245"/>
              <a:gd name="T75" fmla="*/ 1247 h 3231"/>
              <a:gd name="T76" fmla="*/ 77 w 3245"/>
              <a:gd name="T77" fmla="*/ 1186 h 3231"/>
              <a:gd name="T78" fmla="*/ 250 w 3245"/>
              <a:gd name="T79" fmla="*/ 793 h 3231"/>
              <a:gd name="T80" fmla="*/ 273 w 3245"/>
              <a:gd name="T81" fmla="*/ 728 h 3231"/>
              <a:gd name="T82" fmla="*/ 613 w 3245"/>
              <a:gd name="T83" fmla="*/ 702 h 3231"/>
              <a:gd name="T84" fmla="*/ 615 w 3245"/>
              <a:gd name="T85" fmla="*/ 358 h 3231"/>
              <a:gd name="T86" fmla="*/ 678 w 3245"/>
              <a:gd name="T87" fmla="*/ 330 h 3231"/>
              <a:gd name="T88" fmla="*/ 1053 w 3245"/>
              <a:gd name="T89" fmla="*/ 123 h 3231"/>
              <a:gd name="T90" fmla="*/ 1110 w 3245"/>
              <a:gd name="T91" fmla="*/ 85 h 3231"/>
              <a:gd name="T92" fmla="*/ 1397 w 3245"/>
              <a:gd name="T93" fmla="*/ 272 h 3231"/>
              <a:gd name="T94" fmla="*/ 1607 w 3245"/>
              <a:gd name="T95" fmla="*/ 4 h 323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3245" h="3231">
                <a:moveTo>
                  <a:pt x="1626" y="0"/>
                </a:moveTo>
                <a:lnTo>
                  <a:pt x="1644" y="3"/>
                </a:lnTo>
                <a:lnTo>
                  <a:pt x="1661" y="9"/>
                </a:lnTo>
                <a:lnTo>
                  <a:pt x="1676" y="19"/>
                </a:lnTo>
                <a:lnTo>
                  <a:pt x="1687" y="33"/>
                </a:lnTo>
                <a:lnTo>
                  <a:pt x="1847" y="272"/>
                </a:lnTo>
                <a:lnTo>
                  <a:pt x="2086" y="98"/>
                </a:lnTo>
                <a:lnTo>
                  <a:pt x="2102" y="90"/>
                </a:lnTo>
                <a:lnTo>
                  <a:pt x="2118" y="85"/>
                </a:lnTo>
                <a:lnTo>
                  <a:pt x="2136" y="85"/>
                </a:lnTo>
                <a:lnTo>
                  <a:pt x="2154" y="89"/>
                </a:lnTo>
                <a:lnTo>
                  <a:pt x="2170" y="96"/>
                </a:lnTo>
                <a:lnTo>
                  <a:pt x="2183" y="108"/>
                </a:lnTo>
                <a:lnTo>
                  <a:pt x="2193" y="122"/>
                </a:lnTo>
                <a:lnTo>
                  <a:pt x="2200" y="139"/>
                </a:lnTo>
                <a:lnTo>
                  <a:pt x="2278" y="421"/>
                </a:lnTo>
                <a:lnTo>
                  <a:pt x="2556" y="333"/>
                </a:lnTo>
                <a:lnTo>
                  <a:pt x="2574" y="330"/>
                </a:lnTo>
                <a:lnTo>
                  <a:pt x="2591" y="331"/>
                </a:lnTo>
                <a:lnTo>
                  <a:pt x="2608" y="337"/>
                </a:lnTo>
                <a:lnTo>
                  <a:pt x="2624" y="346"/>
                </a:lnTo>
                <a:lnTo>
                  <a:pt x="2637" y="359"/>
                </a:lnTo>
                <a:lnTo>
                  <a:pt x="2646" y="374"/>
                </a:lnTo>
                <a:lnTo>
                  <a:pt x="2651" y="391"/>
                </a:lnTo>
                <a:lnTo>
                  <a:pt x="2652" y="409"/>
                </a:lnTo>
                <a:lnTo>
                  <a:pt x="2632" y="702"/>
                </a:lnTo>
                <a:lnTo>
                  <a:pt x="2924" y="708"/>
                </a:lnTo>
                <a:lnTo>
                  <a:pt x="2941" y="711"/>
                </a:lnTo>
                <a:lnTo>
                  <a:pt x="2958" y="718"/>
                </a:lnTo>
                <a:lnTo>
                  <a:pt x="2972" y="728"/>
                </a:lnTo>
                <a:lnTo>
                  <a:pt x="2985" y="742"/>
                </a:lnTo>
                <a:lnTo>
                  <a:pt x="2993" y="758"/>
                </a:lnTo>
                <a:lnTo>
                  <a:pt x="2996" y="776"/>
                </a:lnTo>
                <a:lnTo>
                  <a:pt x="2996" y="793"/>
                </a:lnTo>
                <a:lnTo>
                  <a:pt x="2991" y="811"/>
                </a:lnTo>
                <a:lnTo>
                  <a:pt x="2879" y="1074"/>
                </a:lnTo>
                <a:lnTo>
                  <a:pt x="3153" y="1177"/>
                </a:lnTo>
                <a:lnTo>
                  <a:pt x="3169" y="1185"/>
                </a:lnTo>
                <a:lnTo>
                  <a:pt x="3182" y="1197"/>
                </a:lnTo>
                <a:lnTo>
                  <a:pt x="3192" y="1212"/>
                </a:lnTo>
                <a:lnTo>
                  <a:pt x="3199" y="1229"/>
                </a:lnTo>
                <a:lnTo>
                  <a:pt x="3201" y="1246"/>
                </a:lnTo>
                <a:lnTo>
                  <a:pt x="3199" y="1264"/>
                </a:lnTo>
                <a:lnTo>
                  <a:pt x="3192" y="1280"/>
                </a:lnTo>
                <a:lnTo>
                  <a:pt x="3182" y="1295"/>
                </a:lnTo>
                <a:lnTo>
                  <a:pt x="2993" y="1506"/>
                </a:lnTo>
                <a:lnTo>
                  <a:pt x="3220" y="1699"/>
                </a:lnTo>
                <a:lnTo>
                  <a:pt x="3232" y="1712"/>
                </a:lnTo>
                <a:lnTo>
                  <a:pt x="3241" y="1727"/>
                </a:lnTo>
                <a:lnTo>
                  <a:pt x="3245" y="1745"/>
                </a:lnTo>
                <a:lnTo>
                  <a:pt x="3245" y="1763"/>
                </a:lnTo>
                <a:lnTo>
                  <a:pt x="3241" y="1780"/>
                </a:lnTo>
                <a:lnTo>
                  <a:pt x="3233" y="1796"/>
                </a:lnTo>
                <a:lnTo>
                  <a:pt x="3222" y="1810"/>
                </a:lnTo>
                <a:lnTo>
                  <a:pt x="3207" y="1820"/>
                </a:lnTo>
                <a:lnTo>
                  <a:pt x="2950" y="1957"/>
                </a:lnTo>
                <a:lnTo>
                  <a:pt x="3110" y="2209"/>
                </a:lnTo>
                <a:lnTo>
                  <a:pt x="3117" y="2225"/>
                </a:lnTo>
                <a:lnTo>
                  <a:pt x="3121" y="2244"/>
                </a:lnTo>
                <a:lnTo>
                  <a:pt x="3120" y="2261"/>
                </a:lnTo>
                <a:lnTo>
                  <a:pt x="3115" y="2278"/>
                </a:lnTo>
                <a:lnTo>
                  <a:pt x="3106" y="2294"/>
                </a:lnTo>
                <a:lnTo>
                  <a:pt x="3094" y="2307"/>
                </a:lnTo>
                <a:lnTo>
                  <a:pt x="3079" y="2316"/>
                </a:lnTo>
                <a:lnTo>
                  <a:pt x="3062" y="2322"/>
                </a:lnTo>
                <a:lnTo>
                  <a:pt x="2772" y="2379"/>
                </a:lnTo>
                <a:lnTo>
                  <a:pt x="2839" y="2666"/>
                </a:lnTo>
                <a:lnTo>
                  <a:pt x="2841" y="2684"/>
                </a:lnTo>
                <a:lnTo>
                  <a:pt x="2839" y="2702"/>
                </a:lnTo>
                <a:lnTo>
                  <a:pt x="2832" y="2718"/>
                </a:lnTo>
                <a:lnTo>
                  <a:pt x="2822" y="2733"/>
                </a:lnTo>
                <a:lnTo>
                  <a:pt x="2808" y="2744"/>
                </a:lnTo>
                <a:lnTo>
                  <a:pt x="2792" y="2752"/>
                </a:lnTo>
                <a:lnTo>
                  <a:pt x="2774" y="2756"/>
                </a:lnTo>
                <a:lnTo>
                  <a:pt x="2757" y="2756"/>
                </a:lnTo>
                <a:lnTo>
                  <a:pt x="2472" y="2714"/>
                </a:lnTo>
                <a:lnTo>
                  <a:pt x="2438" y="3001"/>
                </a:lnTo>
                <a:lnTo>
                  <a:pt x="2433" y="3018"/>
                </a:lnTo>
                <a:lnTo>
                  <a:pt x="2425" y="3034"/>
                </a:lnTo>
                <a:lnTo>
                  <a:pt x="2414" y="3047"/>
                </a:lnTo>
                <a:lnTo>
                  <a:pt x="2399" y="3057"/>
                </a:lnTo>
                <a:lnTo>
                  <a:pt x="2383" y="3064"/>
                </a:lnTo>
                <a:lnTo>
                  <a:pt x="2365" y="3066"/>
                </a:lnTo>
                <a:lnTo>
                  <a:pt x="2348" y="3064"/>
                </a:lnTo>
                <a:lnTo>
                  <a:pt x="2331" y="3058"/>
                </a:lnTo>
                <a:lnTo>
                  <a:pt x="2067" y="2926"/>
                </a:lnTo>
                <a:lnTo>
                  <a:pt x="1947" y="3187"/>
                </a:lnTo>
                <a:lnTo>
                  <a:pt x="1938" y="3203"/>
                </a:lnTo>
                <a:lnTo>
                  <a:pt x="1925" y="3215"/>
                </a:lnTo>
                <a:lnTo>
                  <a:pt x="1909" y="3225"/>
                </a:lnTo>
                <a:lnTo>
                  <a:pt x="1892" y="3230"/>
                </a:lnTo>
                <a:lnTo>
                  <a:pt x="1886" y="3230"/>
                </a:lnTo>
                <a:lnTo>
                  <a:pt x="1880" y="3231"/>
                </a:lnTo>
                <a:lnTo>
                  <a:pt x="1865" y="3229"/>
                </a:lnTo>
                <a:lnTo>
                  <a:pt x="1851" y="3225"/>
                </a:lnTo>
                <a:lnTo>
                  <a:pt x="1838" y="3217"/>
                </a:lnTo>
                <a:lnTo>
                  <a:pt x="1827" y="3207"/>
                </a:lnTo>
                <a:lnTo>
                  <a:pt x="1625" y="2997"/>
                </a:lnTo>
                <a:lnTo>
                  <a:pt x="1419" y="3208"/>
                </a:lnTo>
                <a:lnTo>
                  <a:pt x="1405" y="3220"/>
                </a:lnTo>
                <a:lnTo>
                  <a:pt x="1389" y="3227"/>
                </a:lnTo>
                <a:lnTo>
                  <a:pt x="1371" y="3231"/>
                </a:lnTo>
                <a:lnTo>
                  <a:pt x="1354" y="3229"/>
                </a:lnTo>
                <a:lnTo>
                  <a:pt x="1336" y="3224"/>
                </a:lnTo>
                <a:lnTo>
                  <a:pt x="1321" y="3215"/>
                </a:lnTo>
                <a:lnTo>
                  <a:pt x="1309" y="3203"/>
                </a:lnTo>
                <a:lnTo>
                  <a:pt x="1299" y="3188"/>
                </a:lnTo>
                <a:lnTo>
                  <a:pt x="1176" y="2926"/>
                </a:lnTo>
                <a:lnTo>
                  <a:pt x="916" y="3058"/>
                </a:lnTo>
                <a:lnTo>
                  <a:pt x="899" y="3064"/>
                </a:lnTo>
                <a:lnTo>
                  <a:pt x="881" y="3066"/>
                </a:lnTo>
                <a:lnTo>
                  <a:pt x="864" y="3064"/>
                </a:lnTo>
                <a:lnTo>
                  <a:pt x="847" y="3057"/>
                </a:lnTo>
                <a:lnTo>
                  <a:pt x="832" y="3047"/>
                </a:lnTo>
                <a:lnTo>
                  <a:pt x="821" y="3033"/>
                </a:lnTo>
                <a:lnTo>
                  <a:pt x="813" y="3018"/>
                </a:lnTo>
                <a:lnTo>
                  <a:pt x="809" y="3000"/>
                </a:lnTo>
                <a:lnTo>
                  <a:pt x="779" y="2714"/>
                </a:lnTo>
                <a:lnTo>
                  <a:pt x="495" y="2756"/>
                </a:lnTo>
                <a:lnTo>
                  <a:pt x="476" y="2756"/>
                </a:lnTo>
                <a:lnTo>
                  <a:pt x="459" y="2752"/>
                </a:lnTo>
                <a:lnTo>
                  <a:pt x="443" y="2744"/>
                </a:lnTo>
                <a:lnTo>
                  <a:pt x="429" y="2733"/>
                </a:lnTo>
                <a:lnTo>
                  <a:pt x="419" y="2718"/>
                </a:lnTo>
                <a:lnTo>
                  <a:pt x="412" y="2702"/>
                </a:lnTo>
                <a:lnTo>
                  <a:pt x="410" y="2684"/>
                </a:lnTo>
                <a:lnTo>
                  <a:pt x="412" y="2666"/>
                </a:lnTo>
                <a:lnTo>
                  <a:pt x="479" y="2379"/>
                </a:lnTo>
                <a:lnTo>
                  <a:pt x="184" y="2322"/>
                </a:lnTo>
                <a:lnTo>
                  <a:pt x="167" y="2316"/>
                </a:lnTo>
                <a:lnTo>
                  <a:pt x="152" y="2307"/>
                </a:lnTo>
                <a:lnTo>
                  <a:pt x="140" y="2294"/>
                </a:lnTo>
                <a:lnTo>
                  <a:pt x="131" y="2279"/>
                </a:lnTo>
                <a:lnTo>
                  <a:pt x="126" y="2261"/>
                </a:lnTo>
                <a:lnTo>
                  <a:pt x="125" y="2244"/>
                </a:lnTo>
                <a:lnTo>
                  <a:pt x="128" y="2226"/>
                </a:lnTo>
                <a:lnTo>
                  <a:pt x="136" y="2209"/>
                </a:lnTo>
                <a:lnTo>
                  <a:pt x="292" y="1957"/>
                </a:lnTo>
                <a:lnTo>
                  <a:pt x="39" y="1820"/>
                </a:lnTo>
                <a:lnTo>
                  <a:pt x="24" y="1810"/>
                </a:lnTo>
                <a:lnTo>
                  <a:pt x="12" y="1796"/>
                </a:lnTo>
                <a:lnTo>
                  <a:pt x="4" y="1780"/>
                </a:lnTo>
                <a:lnTo>
                  <a:pt x="0" y="1762"/>
                </a:lnTo>
                <a:lnTo>
                  <a:pt x="1" y="1744"/>
                </a:lnTo>
                <a:lnTo>
                  <a:pt x="6" y="1727"/>
                </a:lnTo>
                <a:lnTo>
                  <a:pt x="15" y="1711"/>
                </a:lnTo>
                <a:lnTo>
                  <a:pt x="27" y="1698"/>
                </a:lnTo>
                <a:lnTo>
                  <a:pt x="257" y="1506"/>
                </a:lnTo>
                <a:lnTo>
                  <a:pt x="64" y="1296"/>
                </a:lnTo>
                <a:lnTo>
                  <a:pt x="54" y="1281"/>
                </a:lnTo>
                <a:lnTo>
                  <a:pt x="47" y="1265"/>
                </a:lnTo>
                <a:lnTo>
                  <a:pt x="45" y="1247"/>
                </a:lnTo>
                <a:lnTo>
                  <a:pt x="47" y="1229"/>
                </a:lnTo>
                <a:lnTo>
                  <a:pt x="53" y="1212"/>
                </a:lnTo>
                <a:lnTo>
                  <a:pt x="63" y="1197"/>
                </a:lnTo>
                <a:lnTo>
                  <a:pt x="77" y="1186"/>
                </a:lnTo>
                <a:lnTo>
                  <a:pt x="93" y="1177"/>
                </a:lnTo>
                <a:lnTo>
                  <a:pt x="365" y="1074"/>
                </a:lnTo>
                <a:lnTo>
                  <a:pt x="255" y="810"/>
                </a:lnTo>
                <a:lnTo>
                  <a:pt x="250" y="793"/>
                </a:lnTo>
                <a:lnTo>
                  <a:pt x="250" y="775"/>
                </a:lnTo>
                <a:lnTo>
                  <a:pt x="253" y="758"/>
                </a:lnTo>
                <a:lnTo>
                  <a:pt x="261" y="742"/>
                </a:lnTo>
                <a:lnTo>
                  <a:pt x="273" y="728"/>
                </a:lnTo>
                <a:lnTo>
                  <a:pt x="287" y="718"/>
                </a:lnTo>
                <a:lnTo>
                  <a:pt x="303" y="711"/>
                </a:lnTo>
                <a:lnTo>
                  <a:pt x="321" y="708"/>
                </a:lnTo>
                <a:lnTo>
                  <a:pt x="613" y="702"/>
                </a:lnTo>
                <a:lnTo>
                  <a:pt x="599" y="407"/>
                </a:lnTo>
                <a:lnTo>
                  <a:pt x="600" y="389"/>
                </a:lnTo>
                <a:lnTo>
                  <a:pt x="606" y="373"/>
                </a:lnTo>
                <a:lnTo>
                  <a:pt x="615" y="358"/>
                </a:lnTo>
                <a:lnTo>
                  <a:pt x="628" y="345"/>
                </a:lnTo>
                <a:lnTo>
                  <a:pt x="643" y="336"/>
                </a:lnTo>
                <a:lnTo>
                  <a:pt x="660" y="331"/>
                </a:lnTo>
                <a:lnTo>
                  <a:pt x="678" y="330"/>
                </a:lnTo>
                <a:lnTo>
                  <a:pt x="695" y="333"/>
                </a:lnTo>
                <a:lnTo>
                  <a:pt x="971" y="420"/>
                </a:lnTo>
                <a:lnTo>
                  <a:pt x="1046" y="140"/>
                </a:lnTo>
                <a:lnTo>
                  <a:pt x="1053" y="123"/>
                </a:lnTo>
                <a:lnTo>
                  <a:pt x="1063" y="108"/>
                </a:lnTo>
                <a:lnTo>
                  <a:pt x="1076" y="97"/>
                </a:lnTo>
                <a:lnTo>
                  <a:pt x="1093" y="89"/>
                </a:lnTo>
                <a:lnTo>
                  <a:pt x="1110" y="85"/>
                </a:lnTo>
                <a:lnTo>
                  <a:pt x="1128" y="85"/>
                </a:lnTo>
                <a:lnTo>
                  <a:pt x="1145" y="90"/>
                </a:lnTo>
                <a:lnTo>
                  <a:pt x="1161" y="99"/>
                </a:lnTo>
                <a:lnTo>
                  <a:pt x="1397" y="272"/>
                </a:lnTo>
                <a:lnTo>
                  <a:pt x="1565" y="32"/>
                </a:lnTo>
                <a:lnTo>
                  <a:pt x="1576" y="19"/>
                </a:lnTo>
                <a:lnTo>
                  <a:pt x="1590" y="10"/>
                </a:lnTo>
                <a:lnTo>
                  <a:pt x="1607" y="4"/>
                </a:lnTo>
                <a:lnTo>
                  <a:pt x="1626" y="0"/>
                </a:lnTo>
                <a:close/>
              </a:path>
            </a:pathLst>
          </a:custGeom>
          <a:solidFill>
            <a:srgbClr val="FFFFFF"/>
          </a:solidFill>
          <a:ln w="0">
            <a:noFill/>
            <a:prstDash val="solid"/>
            <a:round/>
            <a:headEnd/>
            <a:tailEnd/>
          </a:ln>
        </xdr:spPr>
      </xdr:sp>
      <xdr:sp macro="" textlink="">
        <xdr:nvSpPr>
          <xdr:cNvPr id="22" name="Надпись 21"/>
          <xdr:cNvSpPr txBox="1"/>
        </xdr:nvSpPr>
        <xdr:spPr>
          <a:xfrm>
            <a:off x="457200" y="3714750"/>
            <a:ext cx="5143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b="1">
                <a:solidFill>
                  <a:schemeClr val="tx2">
                    <a:lumMod val="75000"/>
                  </a:schemeClr>
                </a:solidFill>
                <a:latin typeface="Arial" panose="020B0604020202020204" pitchFamily="34" charset="0"/>
                <a:cs typeface="Arial" panose="020B0604020202020204" pitchFamily="34" charset="0"/>
              </a:rPr>
              <a:t>Руб</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0</xdr:colOff>
      <xdr:row>0</xdr:row>
      <xdr:rowOff>0</xdr:rowOff>
    </xdr:from>
    <xdr:to>
      <xdr:col>20</xdr:col>
      <xdr:colOff>447675</xdr:colOff>
      <xdr:row>1</xdr:row>
      <xdr:rowOff>261</xdr:rowOff>
    </xdr:to>
    <xdr:sp macro="" textlink="">
      <xdr:nvSpPr>
        <xdr:cNvPr id="2" name="Граница заголовка" descr="&quot;&quot;" title="Header border"/>
        <xdr:cNvSpPr/>
      </xdr:nvSpPr>
      <xdr:spPr>
        <a:xfrm>
          <a:off x="10715625" y="0"/>
          <a:ext cx="2324100" cy="438411"/>
        </a:xfrm>
        <a:prstGeom prst="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fPrintsWithSheet="0"/>
  </xdr:twoCellAnchor>
  <xdr:twoCellAnchor>
    <xdr:from>
      <xdr:col>1</xdr:col>
      <xdr:colOff>180975</xdr:colOff>
      <xdr:row>0</xdr:row>
      <xdr:rowOff>0</xdr:rowOff>
    </xdr:from>
    <xdr:to>
      <xdr:col>1</xdr:col>
      <xdr:colOff>1433517</xdr:colOff>
      <xdr:row>2</xdr:row>
      <xdr:rowOff>109537</xdr:rowOff>
    </xdr:to>
    <xdr:grpSp>
      <xdr:nvGrpSpPr>
        <xdr:cNvPr id="4" name="Группа 3" descr="&quot;&quot;" title="Starting Balance"/>
        <xdr:cNvGrpSpPr/>
      </xdr:nvGrpSpPr>
      <xdr:grpSpPr>
        <a:xfrm>
          <a:off x="304800" y="0"/>
          <a:ext cx="1252542" cy="757237"/>
          <a:chOff x="304800" y="0"/>
          <a:chExt cx="1252542" cy="757237"/>
        </a:xfrm>
      </xdr:grpSpPr>
      <xdr:sp macro="" textlink="">
        <xdr:nvSpPr>
          <xdr:cNvPr id="24" name="Пятиугольник 23" descr="&quot;&quot;" title="Starting Balance"/>
          <xdr:cNvSpPr/>
        </xdr:nvSpPr>
        <xdr:spPr>
          <a:xfrm rot="5400000">
            <a:off x="552452" y="-247652"/>
            <a:ext cx="757237" cy="1252542"/>
          </a:xfrm>
          <a:prstGeom prst="homePlate">
            <a:avLst>
              <a:gd name="adj" fmla="val 21582"/>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5" name="Группа 24"/>
          <xdr:cNvGrpSpPr/>
        </xdr:nvGrpSpPr>
        <xdr:grpSpPr>
          <a:xfrm>
            <a:off x="380561" y="33337"/>
            <a:ext cx="1097282" cy="576263"/>
            <a:chOff x="816249" y="19050"/>
            <a:chExt cx="1130659" cy="576263"/>
          </a:xfrm>
        </xdr:grpSpPr>
        <xdr:sp macro="" textlink="">
          <xdr:nvSpPr>
            <xdr:cNvPr id="26" name="Надпись 25"/>
            <xdr:cNvSpPr txBox="1"/>
          </xdr:nvSpPr>
          <xdr:spPr>
            <a:xfrm>
              <a:off x="816250" y="19050"/>
              <a:ext cx="1130658"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az-Cyrl-AZ" sz="900" b="1" spc="50" baseline="0">
                  <a:solidFill>
                    <a:schemeClr val="bg1"/>
                  </a:solidFill>
                  <a:latin typeface="+mj-lt"/>
                </a:rPr>
                <a:t>Начальная сумма</a:t>
              </a:r>
              <a:endParaRPr lang="en-US" sz="900" b="1" spc="50" baseline="0">
                <a:solidFill>
                  <a:schemeClr val="bg1"/>
                </a:solidFill>
                <a:latin typeface="+mj-lt"/>
              </a:endParaRPr>
            </a:p>
          </xdr:txBody>
        </xdr:sp>
        <xdr:sp macro="" textlink="НачальныйБаланс">
          <xdr:nvSpPr>
            <xdr:cNvPr id="27" name="Надпись 26"/>
            <xdr:cNvSpPr txBox="1"/>
          </xdr:nvSpPr>
          <xdr:spPr>
            <a:xfrm>
              <a:off x="816249" y="242888"/>
              <a:ext cx="1130657"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fld id="{2B216359-7D6C-4C16-9AE0-5BD22C726D6B}" type="TxLink">
                <a:rPr lang="en-US" sz="1800" b="1" i="0" u="none" strike="noStrike" spc="50" baseline="0">
                  <a:solidFill>
                    <a:schemeClr val="bg1"/>
                  </a:solidFill>
                  <a:latin typeface="+mj-lt"/>
                </a:rPr>
                <a:pPr algn="ctr"/>
                <a:t>1000</a:t>
              </a:fld>
              <a:endParaRPr lang="en-US" sz="1800" b="1" spc="50" baseline="0">
                <a:solidFill>
                  <a:schemeClr val="bg1"/>
                </a:solidFill>
                <a:latin typeface="+mj-lt"/>
              </a:endParaRPr>
            </a:p>
          </xdr:txBody>
        </xdr:sp>
      </xdr:grpSp>
    </xdr:grpSp>
    <xdr:clientData/>
  </xdr:twoCellAnchor>
  <xdr:twoCellAnchor>
    <xdr:from>
      <xdr:col>17</xdr:col>
      <xdr:colOff>481844</xdr:colOff>
      <xdr:row>0</xdr:row>
      <xdr:rowOff>95251</xdr:rowOff>
    </xdr:from>
    <xdr:to>
      <xdr:col>20</xdr:col>
      <xdr:colOff>314325</xdr:colOff>
      <xdr:row>0</xdr:row>
      <xdr:rowOff>333375</xdr:rowOff>
    </xdr:to>
    <xdr:sp macro="" textlink="">
      <xdr:nvSpPr>
        <xdr:cNvPr id="34" name="Назад к обзору" descr="Click to return to the Dashboard sheet" title="Назад к обзору">
          <a:hlinkClick xmlns:r="http://schemas.openxmlformats.org/officeDocument/2006/relationships" r:id="rId1" tooltip="Вернуться к панели мониторинга"/>
        </xdr:cNvPr>
        <xdr:cNvSpPr txBox="1"/>
      </xdr:nvSpPr>
      <xdr:spPr>
        <a:xfrm>
          <a:off x="12711944" y="95251"/>
          <a:ext cx="1899406" cy="238124"/>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r>
            <a:rPr lang="az-Cyrl-AZ" sz="800" b="1" spc="40" baseline="0">
              <a:solidFill>
                <a:schemeClr val="bg1"/>
              </a:solidFill>
              <a:latin typeface="+mj-lt"/>
            </a:rPr>
            <a:t>Вернуться к общим сведениям</a:t>
          </a:r>
          <a:endParaRPr lang="en-US" sz="800" b="1" spc="40" baseline="0">
            <a:solidFill>
              <a:schemeClr val="bg1"/>
            </a:solidFill>
            <a:latin typeface="+mj-lt"/>
          </a:endParaRPr>
        </a:p>
      </xdr:txBody>
    </xdr:sp>
    <xdr:clientData fPrintsWithSheet="0"/>
  </xdr:twoCellAnchor>
  <xdr:twoCellAnchor editAs="oneCell">
    <xdr:from>
      <xdr:col>17</xdr:col>
      <xdr:colOff>180975</xdr:colOff>
      <xdr:row>0</xdr:row>
      <xdr:rowOff>28575</xdr:rowOff>
    </xdr:from>
    <xdr:to>
      <xdr:col>17</xdr:col>
      <xdr:colOff>546735</xdr:colOff>
      <xdr:row>0</xdr:row>
      <xdr:rowOff>394335</xdr:rowOff>
    </xdr:to>
    <xdr:grpSp>
      <xdr:nvGrpSpPr>
        <xdr:cNvPr id="30" name="shpШкала" descr="&quot;&quot;" title="Dashboard icon"/>
        <xdr:cNvGrpSpPr>
          <a:grpSpLocks noChangeAspect="1"/>
        </xdr:cNvGrpSpPr>
      </xdr:nvGrpSpPr>
      <xdr:grpSpPr bwMode="auto">
        <a:xfrm>
          <a:off x="12411075" y="28575"/>
          <a:ext cx="365760" cy="365760"/>
          <a:chOff x="695" y="842"/>
          <a:chExt cx="45" cy="45"/>
        </a:xfrm>
      </xdr:grpSpPr>
      <xdr:sp macro="" textlink="">
        <xdr:nvSpPr>
          <xdr:cNvPr id="31" name="Прямоугольник 60"/>
          <xdr:cNvSpPr>
            <a:spLocks noChangeArrowheads="1"/>
          </xdr:cNvSpPr>
        </xdr:nvSpPr>
        <xdr:spPr bwMode="auto">
          <a:xfrm>
            <a:off x="695" y="842"/>
            <a:ext cx="45" cy="45"/>
          </a:xfrm>
          <a:prstGeom prst="rect">
            <a:avLst/>
          </a:prstGeom>
          <a:noFill/>
          <a:ln w="0">
            <a:noFill/>
            <a:prstDash val="solid"/>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32" name="Полилиния 61"/>
          <xdr:cNvSpPr>
            <a:spLocks/>
          </xdr:cNvSpPr>
        </xdr:nvSpPr>
        <xdr:spPr bwMode="auto">
          <a:xfrm>
            <a:off x="695" y="842"/>
            <a:ext cx="44" cy="44"/>
          </a:xfrm>
          <a:custGeom>
            <a:avLst/>
            <a:gdLst>
              <a:gd name="T0" fmla="*/ 1672 w 3238"/>
              <a:gd name="T1" fmla="*/ 18 h 3203"/>
              <a:gd name="T2" fmla="*/ 2098 w 3238"/>
              <a:gd name="T3" fmla="*/ 88 h 3203"/>
              <a:gd name="T4" fmla="*/ 2165 w 3238"/>
              <a:gd name="T5" fmla="*/ 95 h 3203"/>
              <a:gd name="T6" fmla="*/ 2274 w 3238"/>
              <a:gd name="T7" fmla="*/ 416 h 3203"/>
              <a:gd name="T8" fmla="*/ 2603 w 3238"/>
              <a:gd name="T9" fmla="*/ 332 h 3203"/>
              <a:gd name="T10" fmla="*/ 2646 w 3238"/>
              <a:gd name="T11" fmla="*/ 386 h 3203"/>
              <a:gd name="T12" fmla="*/ 2936 w 3238"/>
              <a:gd name="T13" fmla="*/ 704 h 3203"/>
              <a:gd name="T14" fmla="*/ 2986 w 3238"/>
              <a:gd name="T15" fmla="*/ 751 h 3203"/>
              <a:gd name="T16" fmla="*/ 2874 w 3238"/>
              <a:gd name="T17" fmla="*/ 1064 h 3203"/>
              <a:gd name="T18" fmla="*/ 3186 w 3238"/>
              <a:gd name="T19" fmla="*/ 1201 h 3203"/>
              <a:gd name="T20" fmla="*/ 3186 w 3238"/>
              <a:gd name="T21" fmla="*/ 1269 h 3203"/>
              <a:gd name="T22" fmla="*/ 3225 w 3238"/>
              <a:gd name="T23" fmla="*/ 1696 h 3203"/>
              <a:gd name="T24" fmla="*/ 3234 w 3238"/>
              <a:gd name="T25" fmla="*/ 1765 h 3203"/>
              <a:gd name="T26" fmla="*/ 2944 w 3238"/>
              <a:gd name="T27" fmla="*/ 1940 h 3203"/>
              <a:gd name="T28" fmla="*/ 3114 w 3238"/>
              <a:gd name="T29" fmla="*/ 2241 h 3203"/>
              <a:gd name="T30" fmla="*/ 3073 w 3238"/>
              <a:gd name="T31" fmla="*/ 2295 h 3203"/>
              <a:gd name="T32" fmla="*/ 2835 w 3238"/>
              <a:gd name="T33" fmla="*/ 2661 h 3203"/>
              <a:gd name="T34" fmla="*/ 2802 w 3238"/>
              <a:gd name="T35" fmla="*/ 2722 h 3203"/>
              <a:gd name="T36" fmla="*/ 2466 w 3238"/>
              <a:gd name="T37" fmla="*/ 2690 h 3203"/>
              <a:gd name="T38" fmla="*/ 2408 w 3238"/>
              <a:gd name="T39" fmla="*/ 3020 h 3203"/>
              <a:gd name="T40" fmla="*/ 2343 w 3238"/>
              <a:gd name="T41" fmla="*/ 3037 h 3203"/>
              <a:gd name="T42" fmla="*/ 1933 w 3238"/>
              <a:gd name="T43" fmla="*/ 3176 h 3203"/>
              <a:gd name="T44" fmla="*/ 1883 w 3238"/>
              <a:gd name="T45" fmla="*/ 3203 h 3203"/>
              <a:gd name="T46" fmla="*/ 1834 w 3238"/>
              <a:gd name="T47" fmla="*/ 3190 h 3203"/>
              <a:gd name="T48" fmla="*/ 1402 w 3238"/>
              <a:gd name="T49" fmla="*/ 3192 h 3203"/>
              <a:gd name="T50" fmla="*/ 1333 w 3238"/>
              <a:gd name="T51" fmla="*/ 3197 h 3203"/>
              <a:gd name="T52" fmla="*/ 1174 w 3238"/>
              <a:gd name="T53" fmla="*/ 2900 h 3203"/>
              <a:gd name="T54" fmla="*/ 862 w 3238"/>
              <a:gd name="T55" fmla="*/ 3037 h 3203"/>
              <a:gd name="T56" fmla="*/ 812 w 3238"/>
              <a:gd name="T57" fmla="*/ 2991 h 3203"/>
              <a:gd name="T58" fmla="*/ 475 w 3238"/>
              <a:gd name="T59" fmla="*/ 2733 h 3203"/>
              <a:gd name="T60" fmla="*/ 418 w 3238"/>
              <a:gd name="T61" fmla="*/ 2694 h 3203"/>
              <a:gd name="T62" fmla="*/ 477 w 3238"/>
              <a:gd name="T63" fmla="*/ 2358 h 3203"/>
              <a:gd name="T64" fmla="*/ 140 w 3238"/>
              <a:gd name="T65" fmla="*/ 2274 h 3203"/>
              <a:gd name="T66" fmla="*/ 128 w 3238"/>
              <a:gd name="T67" fmla="*/ 2207 h 3203"/>
              <a:gd name="T68" fmla="*/ 24 w 3238"/>
              <a:gd name="T69" fmla="*/ 1794 h 3203"/>
              <a:gd name="T70" fmla="*/ 1 w 3238"/>
              <a:gd name="T71" fmla="*/ 1728 h 3203"/>
              <a:gd name="T72" fmla="*/ 257 w 3238"/>
              <a:gd name="T73" fmla="*/ 1494 h 3203"/>
              <a:gd name="T74" fmla="*/ 45 w 3238"/>
              <a:gd name="T75" fmla="*/ 1236 h 3203"/>
              <a:gd name="T76" fmla="*/ 77 w 3238"/>
              <a:gd name="T77" fmla="*/ 1175 h 3203"/>
              <a:gd name="T78" fmla="*/ 250 w 3238"/>
              <a:gd name="T79" fmla="*/ 785 h 3203"/>
              <a:gd name="T80" fmla="*/ 273 w 3238"/>
              <a:gd name="T81" fmla="*/ 721 h 3203"/>
              <a:gd name="T82" fmla="*/ 611 w 3238"/>
              <a:gd name="T83" fmla="*/ 695 h 3203"/>
              <a:gd name="T84" fmla="*/ 614 w 3238"/>
              <a:gd name="T85" fmla="*/ 354 h 3203"/>
              <a:gd name="T86" fmla="*/ 676 w 3238"/>
              <a:gd name="T87" fmla="*/ 326 h 3203"/>
              <a:gd name="T88" fmla="*/ 1050 w 3238"/>
              <a:gd name="T89" fmla="*/ 121 h 3203"/>
              <a:gd name="T90" fmla="*/ 1108 w 3238"/>
              <a:gd name="T91" fmla="*/ 83 h 3203"/>
              <a:gd name="T92" fmla="*/ 1394 w 3238"/>
              <a:gd name="T93" fmla="*/ 269 h 3203"/>
              <a:gd name="T94" fmla="*/ 1604 w 3238"/>
              <a:gd name="T95" fmla="*/ 3 h 320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3238" h="3203">
                <a:moveTo>
                  <a:pt x="1623" y="0"/>
                </a:moveTo>
                <a:lnTo>
                  <a:pt x="1641" y="2"/>
                </a:lnTo>
                <a:lnTo>
                  <a:pt x="1657" y="8"/>
                </a:lnTo>
                <a:lnTo>
                  <a:pt x="1672" y="18"/>
                </a:lnTo>
                <a:lnTo>
                  <a:pt x="1684" y="32"/>
                </a:lnTo>
                <a:lnTo>
                  <a:pt x="1843" y="268"/>
                </a:lnTo>
                <a:lnTo>
                  <a:pt x="2081" y="96"/>
                </a:lnTo>
                <a:lnTo>
                  <a:pt x="2098" y="88"/>
                </a:lnTo>
                <a:lnTo>
                  <a:pt x="2115" y="84"/>
                </a:lnTo>
                <a:lnTo>
                  <a:pt x="2132" y="83"/>
                </a:lnTo>
                <a:lnTo>
                  <a:pt x="2150" y="87"/>
                </a:lnTo>
                <a:lnTo>
                  <a:pt x="2165" y="95"/>
                </a:lnTo>
                <a:lnTo>
                  <a:pt x="2179" y="106"/>
                </a:lnTo>
                <a:lnTo>
                  <a:pt x="2189" y="120"/>
                </a:lnTo>
                <a:lnTo>
                  <a:pt x="2196" y="136"/>
                </a:lnTo>
                <a:lnTo>
                  <a:pt x="2274" y="416"/>
                </a:lnTo>
                <a:lnTo>
                  <a:pt x="2551" y="329"/>
                </a:lnTo>
                <a:lnTo>
                  <a:pt x="2568" y="326"/>
                </a:lnTo>
                <a:lnTo>
                  <a:pt x="2586" y="327"/>
                </a:lnTo>
                <a:lnTo>
                  <a:pt x="2603" y="332"/>
                </a:lnTo>
                <a:lnTo>
                  <a:pt x="2618" y="342"/>
                </a:lnTo>
                <a:lnTo>
                  <a:pt x="2631" y="354"/>
                </a:lnTo>
                <a:lnTo>
                  <a:pt x="2641" y="369"/>
                </a:lnTo>
                <a:lnTo>
                  <a:pt x="2646" y="386"/>
                </a:lnTo>
                <a:lnTo>
                  <a:pt x="2647" y="404"/>
                </a:lnTo>
                <a:lnTo>
                  <a:pt x="2626" y="695"/>
                </a:lnTo>
                <a:lnTo>
                  <a:pt x="2918" y="701"/>
                </a:lnTo>
                <a:lnTo>
                  <a:pt x="2936" y="704"/>
                </a:lnTo>
                <a:lnTo>
                  <a:pt x="2952" y="711"/>
                </a:lnTo>
                <a:lnTo>
                  <a:pt x="2967" y="721"/>
                </a:lnTo>
                <a:lnTo>
                  <a:pt x="2979" y="735"/>
                </a:lnTo>
                <a:lnTo>
                  <a:pt x="2986" y="751"/>
                </a:lnTo>
                <a:lnTo>
                  <a:pt x="2990" y="768"/>
                </a:lnTo>
                <a:lnTo>
                  <a:pt x="2989" y="786"/>
                </a:lnTo>
                <a:lnTo>
                  <a:pt x="2984" y="804"/>
                </a:lnTo>
                <a:lnTo>
                  <a:pt x="2874" y="1064"/>
                </a:lnTo>
                <a:lnTo>
                  <a:pt x="3146" y="1166"/>
                </a:lnTo>
                <a:lnTo>
                  <a:pt x="3162" y="1175"/>
                </a:lnTo>
                <a:lnTo>
                  <a:pt x="3176" y="1187"/>
                </a:lnTo>
                <a:lnTo>
                  <a:pt x="3186" y="1201"/>
                </a:lnTo>
                <a:lnTo>
                  <a:pt x="3192" y="1218"/>
                </a:lnTo>
                <a:lnTo>
                  <a:pt x="3194" y="1235"/>
                </a:lnTo>
                <a:lnTo>
                  <a:pt x="3192" y="1253"/>
                </a:lnTo>
                <a:lnTo>
                  <a:pt x="3186" y="1269"/>
                </a:lnTo>
                <a:lnTo>
                  <a:pt x="3176" y="1284"/>
                </a:lnTo>
                <a:lnTo>
                  <a:pt x="2986" y="1494"/>
                </a:lnTo>
                <a:lnTo>
                  <a:pt x="3213" y="1683"/>
                </a:lnTo>
                <a:lnTo>
                  <a:pt x="3225" y="1696"/>
                </a:lnTo>
                <a:lnTo>
                  <a:pt x="3234" y="1712"/>
                </a:lnTo>
                <a:lnTo>
                  <a:pt x="3238" y="1729"/>
                </a:lnTo>
                <a:lnTo>
                  <a:pt x="3238" y="1746"/>
                </a:lnTo>
                <a:lnTo>
                  <a:pt x="3234" y="1765"/>
                </a:lnTo>
                <a:lnTo>
                  <a:pt x="3226" y="1781"/>
                </a:lnTo>
                <a:lnTo>
                  <a:pt x="3215" y="1794"/>
                </a:lnTo>
                <a:lnTo>
                  <a:pt x="3200" y="1805"/>
                </a:lnTo>
                <a:lnTo>
                  <a:pt x="2944" y="1940"/>
                </a:lnTo>
                <a:lnTo>
                  <a:pt x="3103" y="2190"/>
                </a:lnTo>
                <a:lnTo>
                  <a:pt x="3111" y="2206"/>
                </a:lnTo>
                <a:lnTo>
                  <a:pt x="3114" y="2224"/>
                </a:lnTo>
                <a:lnTo>
                  <a:pt x="3114" y="2241"/>
                </a:lnTo>
                <a:lnTo>
                  <a:pt x="3109" y="2258"/>
                </a:lnTo>
                <a:lnTo>
                  <a:pt x="3100" y="2274"/>
                </a:lnTo>
                <a:lnTo>
                  <a:pt x="3087" y="2286"/>
                </a:lnTo>
                <a:lnTo>
                  <a:pt x="3073" y="2295"/>
                </a:lnTo>
                <a:lnTo>
                  <a:pt x="3055" y="2301"/>
                </a:lnTo>
                <a:lnTo>
                  <a:pt x="2767" y="2358"/>
                </a:lnTo>
                <a:lnTo>
                  <a:pt x="2833" y="2643"/>
                </a:lnTo>
                <a:lnTo>
                  <a:pt x="2835" y="2661"/>
                </a:lnTo>
                <a:lnTo>
                  <a:pt x="2833" y="2678"/>
                </a:lnTo>
                <a:lnTo>
                  <a:pt x="2827" y="2694"/>
                </a:lnTo>
                <a:lnTo>
                  <a:pt x="2816" y="2709"/>
                </a:lnTo>
                <a:lnTo>
                  <a:pt x="2802" y="2722"/>
                </a:lnTo>
                <a:lnTo>
                  <a:pt x="2786" y="2729"/>
                </a:lnTo>
                <a:lnTo>
                  <a:pt x="2769" y="2733"/>
                </a:lnTo>
                <a:lnTo>
                  <a:pt x="2751" y="2733"/>
                </a:lnTo>
                <a:lnTo>
                  <a:pt x="2466" y="2690"/>
                </a:lnTo>
                <a:lnTo>
                  <a:pt x="2433" y="2975"/>
                </a:lnTo>
                <a:lnTo>
                  <a:pt x="2428" y="2992"/>
                </a:lnTo>
                <a:lnTo>
                  <a:pt x="2420" y="3007"/>
                </a:lnTo>
                <a:lnTo>
                  <a:pt x="2408" y="3020"/>
                </a:lnTo>
                <a:lnTo>
                  <a:pt x="2394" y="3031"/>
                </a:lnTo>
                <a:lnTo>
                  <a:pt x="2377" y="3037"/>
                </a:lnTo>
                <a:lnTo>
                  <a:pt x="2360" y="3039"/>
                </a:lnTo>
                <a:lnTo>
                  <a:pt x="2343" y="3037"/>
                </a:lnTo>
                <a:lnTo>
                  <a:pt x="2326" y="3032"/>
                </a:lnTo>
                <a:lnTo>
                  <a:pt x="2063" y="2900"/>
                </a:lnTo>
                <a:lnTo>
                  <a:pt x="1943" y="3160"/>
                </a:lnTo>
                <a:lnTo>
                  <a:pt x="1933" y="3176"/>
                </a:lnTo>
                <a:lnTo>
                  <a:pt x="1921" y="3188"/>
                </a:lnTo>
                <a:lnTo>
                  <a:pt x="1906" y="3197"/>
                </a:lnTo>
                <a:lnTo>
                  <a:pt x="1889" y="3202"/>
                </a:lnTo>
                <a:lnTo>
                  <a:pt x="1883" y="3203"/>
                </a:lnTo>
                <a:lnTo>
                  <a:pt x="1875" y="3203"/>
                </a:lnTo>
                <a:lnTo>
                  <a:pt x="1861" y="3201"/>
                </a:lnTo>
                <a:lnTo>
                  <a:pt x="1847" y="3197"/>
                </a:lnTo>
                <a:lnTo>
                  <a:pt x="1834" y="3190"/>
                </a:lnTo>
                <a:lnTo>
                  <a:pt x="1823" y="3180"/>
                </a:lnTo>
                <a:lnTo>
                  <a:pt x="1622" y="2970"/>
                </a:lnTo>
                <a:lnTo>
                  <a:pt x="1416" y="3181"/>
                </a:lnTo>
                <a:lnTo>
                  <a:pt x="1402" y="3192"/>
                </a:lnTo>
                <a:lnTo>
                  <a:pt x="1386" y="3200"/>
                </a:lnTo>
                <a:lnTo>
                  <a:pt x="1369" y="3203"/>
                </a:lnTo>
                <a:lnTo>
                  <a:pt x="1351" y="3202"/>
                </a:lnTo>
                <a:lnTo>
                  <a:pt x="1333" y="3197"/>
                </a:lnTo>
                <a:lnTo>
                  <a:pt x="1318" y="3188"/>
                </a:lnTo>
                <a:lnTo>
                  <a:pt x="1306" y="3176"/>
                </a:lnTo>
                <a:lnTo>
                  <a:pt x="1296" y="3161"/>
                </a:lnTo>
                <a:lnTo>
                  <a:pt x="1174" y="2900"/>
                </a:lnTo>
                <a:lnTo>
                  <a:pt x="915" y="3031"/>
                </a:lnTo>
                <a:lnTo>
                  <a:pt x="897" y="3037"/>
                </a:lnTo>
                <a:lnTo>
                  <a:pt x="879" y="3039"/>
                </a:lnTo>
                <a:lnTo>
                  <a:pt x="862" y="3037"/>
                </a:lnTo>
                <a:lnTo>
                  <a:pt x="846" y="3031"/>
                </a:lnTo>
                <a:lnTo>
                  <a:pt x="831" y="3020"/>
                </a:lnTo>
                <a:lnTo>
                  <a:pt x="820" y="3007"/>
                </a:lnTo>
                <a:lnTo>
                  <a:pt x="812" y="2991"/>
                </a:lnTo>
                <a:lnTo>
                  <a:pt x="808" y="2974"/>
                </a:lnTo>
                <a:lnTo>
                  <a:pt x="777" y="2690"/>
                </a:lnTo>
                <a:lnTo>
                  <a:pt x="494" y="2733"/>
                </a:lnTo>
                <a:lnTo>
                  <a:pt x="475" y="2733"/>
                </a:lnTo>
                <a:lnTo>
                  <a:pt x="458" y="2730"/>
                </a:lnTo>
                <a:lnTo>
                  <a:pt x="442" y="2722"/>
                </a:lnTo>
                <a:lnTo>
                  <a:pt x="428" y="2709"/>
                </a:lnTo>
                <a:lnTo>
                  <a:pt x="418" y="2694"/>
                </a:lnTo>
                <a:lnTo>
                  <a:pt x="411" y="2678"/>
                </a:lnTo>
                <a:lnTo>
                  <a:pt x="409" y="2661"/>
                </a:lnTo>
                <a:lnTo>
                  <a:pt x="411" y="2643"/>
                </a:lnTo>
                <a:lnTo>
                  <a:pt x="477" y="2358"/>
                </a:lnTo>
                <a:lnTo>
                  <a:pt x="184" y="2301"/>
                </a:lnTo>
                <a:lnTo>
                  <a:pt x="168" y="2295"/>
                </a:lnTo>
                <a:lnTo>
                  <a:pt x="152" y="2286"/>
                </a:lnTo>
                <a:lnTo>
                  <a:pt x="140" y="2274"/>
                </a:lnTo>
                <a:lnTo>
                  <a:pt x="131" y="2258"/>
                </a:lnTo>
                <a:lnTo>
                  <a:pt x="126" y="2241"/>
                </a:lnTo>
                <a:lnTo>
                  <a:pt x="125" y="2224"/>
                </a:lnTo>
                <a:lnTo>
                  <a:pt x="128" y="2207"/>
                </a:lnTo>
                <a:lnTo>
                  <a:pt x="136" y="2191"/>
                </a:lnTo>
                <a:lnTo>
                  <a:pt x="293" y="1940"/>
                </a:lnTo>
                <a:lnTo>
                  <a:pt x="38" y="1804"/>
                </a:lnTo>
                <a:lnTo>
                  <a:pt x="24" y="1794"/>
                </a:lnTo>
                <a:lnTo>
                  <a:pt x="12" y="1780"/>
                </a:lnTo>
                <a:lnTo>
                  <a:pt x="4" y="1765"/>
                </a:lnTo>
                <a:lnTo>
                  <a:pt x="0" y="1746"/>
                </a:lnTo>
                <a:lnTo>
                  <a:pt x="1" y="1728"/>
                </a:lnTo>
                <a:lnTo>
                  <a:pt x="6" y="1711"/>
                </a:lnTo>
                <a:lnTo>
                  <a:pt x="14" y="1696"/>
                </a:lnTo>
                <a:lnTo>
                  <a:pt x="27" y="1683"/>
                </a:lnTo>
                <a:lnTo>
                  <a:pt x="257" y="1494"/>
                </a:lnTo>
                <a:lnTo>
                  <a:pt x="65" y="1284"/>
                </a:lnTo>
                <a:lnTo>
                  <a:pt x="53" y="1270"/>
                </a:lnTo>
                <a:lnTo>
                  <a:pt x="47" y="1253"/>
                </a:lnTo>
                <a:lnTo>
                  <a:pt x="45" y="1236"/>
                </a:lnTo>
                <a:lnTo>
                  <a:pt x="47" y="1218"/>
                </a:lnTo>
                <a:lnTo>
                  <a:pt x="53" y="1202"/>
                </a:lnTo>
                <a:lnTo>
                  <a:pt x="64" y="1187"/>
                </a:lnTo>
                <a:lnTo>
                  <a:pt x="77" y="1175"/>
                </a:lnTo>
                <a:lnTo>
                  <a:pt x="93" y="1167"/>
                </a:lnTo>
                <a:lnTo>
                  <a:pt x="363" y="1064"/>
                </a:lnTo>
                <a:lnTo>
                  <a:pt x="254" y="804"/>
                </a:lnTo>
                <a:lnTo>
                  <a:pt x="250" y="785"/>
                </a:lnTo>
                <a:lnTo>
                  <a:pt x="249" y="768"/>
                </a:lnTo>
                <a:lnTo>
                  <a:pt x="253" y="751"/>
                </a:lnTo>
                <a:lnTo>
                  <a:pt x="260" y="735"/>
                </a:lnTo>
                <a:lnTo>
                  <a:pt x="273" y="721"/>
                </a:lnTo>
                <a:lnTo>
                  <a:pt x="287" y="711"/>
                </a:lnTo>
                <a:lnTo>
                  <a:pt x="304" y="704"/>
                </a:lnTo>
                <a:lnTo>
                  <a:pt x="321" y="701"/>
                </a:lnTo>
                <a:lnTo>
                  <a:pt x="611" y="695"/>
                </a:lnTo>
                <a:lnTo>
                  <a:pt x="598" y="402"/>
                </a:lnTo>
                <a:lnTo>
                  <a:pt x="600" y="385"/>
                </a:lnTo>
                <a:lnTo>
                  <a:pt x="605" y="368"/>
                </a:lnTo>
                <a:lnTo>
                  <a:pt x="614" y="354"/>
                </a:lnTo>
                <a:lnTo>
                  <a:pt x="627" y="341"/>
                </a:lnTo>
                <a:lnTo>
                  <a:pt x="642" y="332"/>
                </a:lnTo>
                <a:lnTo>
                  <a:pt x="659" y="327"/>
                </a:lnTo>
                <a:lnTo>
                  <a:pt x="676" y="326"/>
                </a:lnTo>
                <a:lnTo>
                  <a:pt x="693" y="329"/>
                </a:lnTo>
                <a:lnTo>
                  <a:pt x="970" y="416"/>
                </a:lnTo>
                <a:lnTo>
                  <a:pt x="1044" y="137"/>
                </a:lnTo>
                <a:lnTo>
                  <a:pt x="1050" y="121"/>
                </a:lnTo>
                <a:lnTo>
                  <a:pt x="1060" y="106"/>
                </a:lnTo>
                <a:lnTo>
                  <a:pt x="1074" y="95"/>
                </a:lnTo>
                <a:lnTo>
                  <a:pt x="1090" y="87"/>
                </a:lnTo>
                <a:lnTo>
                  <a:pt x="1108" y="83"/>
                </a:lnTo>
                <a:lnTo>
                  <a:pt x="1125" y="84"/>
                </a:lnTo>
                <a:lnTo>
                  <a:pt x="1143" y="88"/>
                </a:lnTo>
                <a:lnTo>
                  <a:pt x="1158" y="97"/>
                </a:lnTo>
                <a:lnTo>
                  <a:pt x="1394" y="269"/>
                </a:lnTo>
                <a:lnTo>
                  <a:pt x="1562" y="31"/>
                </a:lnTo>
                <a:lnTo>
                  <a:pt x="1574" y="18"/>
                </a:lnTo>
                <a:lnTo>
                  <a:pt x="1588" y="9"/>
                </a:lnTo>
                <a:lnTo>
                  <a:pt x="1604" y="3"/>
                </a:lnTo>
                <a:lnTo>
                  <a:pt x="1623" y="0"/>
                </a:lnTo>
                <a:close/>
              </a:path>
            </a:pathLst>
          </a:custGeom>
          <a:solidFill>
            <a:srgbClr val="FFFFFF"/>
          </a:solidFill>
          <a:ln w="0">
            <a:solidFill>
              <a:srgbClr val="FFFFFF"/>
            </a:solidFill>
            <a:prstDash val="solid"/>
            <a:round/>
            <a:headEnd/>
            <a:tailEnd/>
          </a:ln>
        </xdr:spPr>
      </xdr:sp>
      <xdr:sp macro="" textlink="">
        <xdr:nvSpPr>
          <xdr:cNvPr id="33" name="Полилиния 62"/>
          <xdr:cNvSpPr>
            <a:spLocks noEditPoints="1"/>
          </xdr:cNvSpPr>
        </xdr:nvSpPr>
        <xdr:spPr bwMode="auto">
          <a:xfrm>
            <a:off x="704" y="851"/>
            <a:ext cx="26" cy="26"/>
          </a:xfrm>
          <a:custGeom>
            <a:avLst/>
            <a:gdLst>
              <a:gd name="T0" fmla="*/ 866 w 1889"/>
              <a:gd name="T1" fmla="*/ 1272 h 1877"/>
              <a:gd name="T2" fmla="*/ 799 w 1889"/>
              <a:gd name="T3" fmla="*/ 1339 h 1877"/>
              <a:gd name="T4" fmla="*/ 772 w 1889"/>
              <a:gd name="T5" fmla="*/ 1435 h 1877"/>
              <a:gd name="T6" fmla="*/ 798 w 1889"/>
              <a:gd name="T7" fmla="*/ 1530 h 1877"/>
              <a:gd name="T8" fmla="*/ 866 w 1889"/>
              <a:gd name="T9" fmla="*/ 1597 h 1877"/>
              <a:gd name="T10" fmla="*/ 961 w 1889"/>
              <a:gd name="T11" fmla="*/ 1622 h 1877"/>
              <a:gd name="T12" fmla="*/ 1057 w 1889"/>
              <a:gd name="T13" fmla="*/ 1597 h 1877"/>
              <a:gd name="T14" fmla="*/ 1125 w 1889"/>
              <a:gd name="T15" fmla="*/ 1530 h 1877"/>
              <a:gd name="T16" fmla="*/ 1150 w 1889"/>
              <a:gd name="T17" fmla="*/ 1435 h 1877"/>
              <a:gd name="T18" fmla="*/ 1128 w 1889"/>
              <a:gd name="T19" fmla="*/ 1347 h 1877"/>
              <a:gd name="T20" fmla="*/ 1070 w 1889"/>
              <a:gd name="T21" fmla="*/ 1281 h 1877"/>
              <a:gd name="T22" fmla="*/ 1017 w 1889"/>
              <a:gd name="T23" fmla="*/ 722 h 1877"/>
              <a:gd name="T24" fmla="*/ 1281 w 1889"/>
              <a:gd name="T25" fmla="*/ 532 h 1877"/>
              <a:gd name="T26" fmla="*/ 1448 w 1889"/>
              <a:gd name="T27" fmla="*/ 366 h 1877"/>
              <a:gd name="T28" fmla="*/ 540 w 1889"/>
              <a:gd name="T29" fmla="*/ 616 h 1877"/>
              <a:gd name="T30" fmla="*/ 709 w 1889"/>
              <a:gd name="T31" fmla="*/ 214 h 1877"/>
              <a:gd name="T32" fmla="*/ 808 w 1889"/>
              <a:gd name="T33" fmla="*/ 426 h 1877"/>
              <a:gd name="T34" fmla="*/ 1102 w 1889"/>
              <a:gd name="T35" fmla="*/ 426 h 1877"/>
              <a:gd name="T36" fmla="*/ 1201 w 1889"/>
              <a:gd name="T37" fmla="*/ 214 h 1877"/>
              <a:gd name="T38" fmla="*/ 1020 w 1889"/>
              <a:gd name="T39" fmla="*/ 412 h 1877"/>
              <a:gd name="T40" fmla="*/ 945 w 1889"/>
              <a:gd name="T41" fmla="*/ 0 h 1877"/>
              <a:gd name="T42" fmla="*/ 1171 w 1889"/>
              <a:gd name="T43" fmla="*/ 27 h 1877"/>
              <a:gd name="T44" fmla="*/ 1379 w 1889"/>
              <a:gd name="T45" fmla="*/ 104 h 1877"/>
              <a:gd name="T46" fmla="*/ 1559 w 1889"/>
              <a:gd name="T47" fmla="*/ 226 h 1877"/>
              <a:gd name="T48" fmla="*/ 1707 w 1889"/>
              <a:gd name="T49" fmla="*/ 384 h 1877"/>
              <a:gd name="T50" fmla="*/ 1815 w 1889"/>
              <a:gd name="T51" fmla="*/ 573 h 1877"/>
              <a:gd name="T52" fmla="*/ 1877 w 1889"/>
              <a:gd name="T53" fmla="*/ 787 h 1877"/>
              <a:gd name="T54" fmla="*/ 1886 w 1889"/>
              <a:gd name="T55" fmla="*/ 1015 h 1877"/>
              <a:gd name="T56" fmla="*/ 1840 w 1889"/>
              <a:gd name="T57" fmla="*/ 1235 h 1877"/>
              <a:gd name="T58" fmla="*/ 1748 w 1889"/>
              <a:gd name="T59" fmla="*/ 1433 h 1877"/>
              <a:gd name="T60" fmla="*/ 1612 w 1889"/>
              <a:gd name="T61" fmla="*/ 1602 h 1877"/>
              <a:gd name="T62" fmla="*/ 1442 w 1889"/>
              <a:gd name="T63" fmla="*/ 1736 h 1877"/>
              <a:gd name="T64" fmla="*/ 1243 w 1889"/>
              <a:gd name="T65" fmla="*/ 1829 h 1877"/>
              <a:gd name="T66" fmla="*/ 1022 w 1889"/>
              <a:gd name="T67" fmla="*/ 1874 h 1877"/>
              <a:gd name="T68" fmla="*/ 792 w 1889"/>
              <a:gd name="T69" fmla="*/ 1865 h 1877"/>
              <a:gd name="T70" fmla="*/ 577 w 1889"/>
              <a:gd name="T71" fmla="*/ 1804 h 1877"/>
              <a:gd name="T72" fmla="*/ 387 w 1889"/>
              <a:gd name="T73" fmla="*/ 1696 h 1877"/>
              <a:gd name="T74" fmla="*/ 227 w 1889"/>
              <a:gd name="T75" fmla="*/ 1549 h 1877"/>
              <a:gd name="T76" fmla="*/ 106 w 1889"/>
              <a:gd name="T77" fmla="*/ 1369 h 1877"/>
              <a:gd name="T78" fmla="*/ 28 w 1889"/>
              <a:gd name="T79" fmla="*/ 1164 h 1877"/>
              <a:gd name="T80" fmla="*/ 0 w 1889"/>
              <a:gd name="T81" fmla="*/ 939 h 1877"/>
              <a:gd name="T82" fmla="*/ 28 w 1889"/>
              <a:gd name="T83" fmla="*/ 713 h 1877"/>
              <a:gd name="T84" fmla="*/ 106 w 1889"/>
              <a:gd name="T85" fmla="*/ 508 h 1877"/>
              <a:gd name="T86" fmla="*/ 227 w 1889"/>
              <a:gd name="T87" fmla="*/ 328 h 1877"/>
              <a:gd name="T88" fmla="*/ 387 w 1889"/>
              <a:gd name="T89" fmla="*/ 181 h 1877"/>
              <a:gd name="T90" fmla="*/ 577 w 1889"/>
              <a:gd name="T91" fmla="*/ 73 h 1877"/>
              <a:gd name="T92" fmla="*/ 792 w 1889"/>
              <a:gd name="T93" fmla="*/ 12 h 187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Lst>
            <a:rect l="0" t="0" r="r" b="b"/>
            <a:pathLst>
              <a:path w="1889" h="1877">
                <a:moveTo>
                  <a:pt x="897" y="722"/>
                </a:moveTo>
                <a:lnTo>
                  <a:pt x="897" y="1259"/>
                </a:lnTo>
                <a:lnTo>
                  <a:pt x="866" y="1272"/>
                </a:lnTo>
                <a:lnTo>
                  <a:pt x="840" y="1291"/>
                </a:lnTo>
                <a:lnTo>
                  <a:pt x="817" y="1313"/>
                </a:lnTo>
                <a:lnTo>
                  <a:pt x="799" y="1339"/>
                </a:lnTo>
                <a:lnTo>
                  <a:pt x="785" y="1369"/>
                </a:lnTo>
                <a:lnTo>
                  <a:pt x="775" y="1400"/>
                </a:lnTo>
                <a:lnTo>
                  <a:pt x="772" y="1435"/>
                </a:lnTo>
                <a:lnTo>
                  <a:pt x="775" y="1469"/>
                </a:lnTo>
                <a:lnTo>
                  <a:pt x="784" y="1500"/>
                </a:lnTo>
                <a:lnTo>
                  <a:pt x="798" y="1530"/>
                </a:lnTo>
                <a:lnTo>
                  <a:pt x="817" y="1556"/>
                </a:lnTo>
                <a:lnTo>
                  <a:pt x="839" y="1578"/>
                </a:lnTo>
                <a:lnTo>
                  <a:pt x="866" y="1597"/>
                </a:lnTo>
                <a:lnTo>
                  <a:pt x="896" y="1611"/>
                </a:lnTo>
                <a:lnTo>
                  <a:pt x="927" y="1619"/>
                </a:lnTo>
                <a:lnTo>
                  <a:pt x="961" y="1622"/>
                </a:lnTo>
                <a:lnTo>
                  <a:pt x="996" y="1619"/>
                </a:lnTo>
                <a:lnTo>
                  <a:pt x="1027" y="1611"/>
                </a:lnTo>
                <a:lnTo>
                  <a:pt x="1057" y="1597"/>
                </a:lnTo>
                <a:lnTo>
                  <a:pt x="1083" y="1578"/>
                </a:lnTo>
                <a:lnTo>
                  <a:pt x="1106" y="1556"/>
                </a:lnTo>
                <a:lnTo>
                  <a:pt x="1125" y="1530"/>
                </a:lnTo>
                <a:lnTo>
                  <a:pt x="1138" y="1500"/>
                </a:lnTo>
                <a:lnTo>
                  <a:pt x="1147" y="1469"/>
                </a:lnTo>
                <a:lnTo>
                  <a:pt x="1150" y="1435"/>
                </a:lnTo>
                <a:lnTo>
                  <a:pt x="1148" y="1403"/>
                </a:lnTo>
                <a:lnTo>
                  <a:pt x="1140" y="1374"/>
                </a:lnTo>
                <a:lnTo>
                  <a:pt x="1128" y="1347"/>
                </a:lnTo>
                <a:lnTo>
                  <a:pt x="1113" y="1322"/>
                </a:lnTo>
                <a:lnTo>
                  <a:pt x="1092" y="1300"/>
                </a:lnTo>
                <a:lnTo>
                  <a:pt x="1070" y="1281"/>
                </a:lnTo>
                <a:lnTo>
                  <a:pt x="1044" y="1266"/>
                </a:lnTo>
                <a:lnTo>
                  <a:pt x="1017" y="1255"/>
                </a:lnTo>
                <a:lnTo>
                  <a:pt x="1017" y="722"/>
                </a:lnTo>
                <a:lnTo>
                  <a:pt x="897" y="722"/>
                </a:lnTo>
                <a:close/>
                <a:moveTo>
                  <a:pt x="1448" y="366"/>
                </a:moveTo>
                <a:lnTo>
                  <a:pt x="1281" y="532"/>
                </a:lnTo>
                <a:lnTo>
                  <a:pt x="1366" y="616"/>
                </a:lnTo>
                <a:lnTo>
                  <a:pt x="1533" y="450"/>
                </a:lnTo>
                <a:lnTo>
                  <a:pt x="1448" y="366"/>
                </a:lnTo>
                <a:close/>
                <a:moveTo>
                  <a:pt x="459" y="366"/>
                </a:moveTo>
                <a:lnTo>
                  <a:pt x="374" y="450"/>
                </a:lnTo>
                <a:lnTo>
                  <a:pt x="540" y="616"/>
                </a:lnTo>
                <a:lnTo>
                  <a:pt x="625" y="532"/>
                </a:lnTo>
                <a:lnTo>
                  <a:pt x="459" y="366"/>
                </a:lnTo>
                <a:close/>
                <a:moveTo>
                  <a:pt x="709" y="214"/>
                </a:moveTo>
                <a:lnTo>
                  <a:pt x="600" y="264"/>
                </a:lnTo>
                <a:lnTo>
                  <a:pt x="699" y="477"/>
                </a:lnTo>
                <a:lnTo>
                  <a:pt x="808" y="426"/>
                </a:lnTo>
                <a:lnTo>
                  <a:pt x="709" y="214"/>
                </a:lnTo>
                <a:close/>
                <a:moveTo>
                  <a:pt x="1201" y="214"/>
                </a:moveTo>
                <a:lnTo>
                  <a:pt x="1102" y="426"/>
                </a:lnTo>
                <a:lnTo>
                  <a:pt x="1211" y="477"/>
                </a:lnTo>
                <a:lnTo>
                  <a:pt x="1310" y="264"/>
                </a:lnTo>
                <a:lnTo>
                  <a:pt x="1201" y="214"/>
                </a:lnTo>
                <a:close/>
                <a:moveTo>
                  <a:pt x="900" y="179"/>
                </a:moveTo>
                <a:lnTo>
                  <a:pt x="900" y="412"/>
                </a:lnTo>
                <a:lnTo>
                  <a:pt x="1020" y="412"/>
                </a:lnTo>
                <a:lnTo>
                  <a:pt x="1020" y="179"/>
                </a:lnTo>
                <a:lnTo>
                  <a:pt x="900" y="179"/>
                </a:lnTo>
                <a:close/>
                <a:moveTo>
                  <a:pt x="945" y="0"/>
                </a:moveTo>
                <a:lnTo>
                  <a:pt x="1022" y="3"/>
                </a:lnTo>
                <a:lnTo>
                  <a:pt x="1097" y="12"/>
                </a:lnTo>
                <a:lnTo>
                  <a:pt x="1171" y="27"/>
                </a:lnTo>
                <a:lnTo>
                  <a:pt x="1243" y="48"/>
                </a:lnTo>
                <a:lnTo>
                  <a:pt x="1312" y="73"/>
                </a:lnTo>
                <a:lnTo>
                  <a:pt x="1379" y="104"/>
                </a:lnTo>
                <a:lnTo>
                  <a:pt x="1442" y="141"/>
                </a:lnTo>
                <a:lnTo>
                  <a:pt x="1502" y="181"/>
                </a:lnTo>
                <a:lnTo>
                  <a:pt x="1559" y="226"/>
                </a:lnTo>
                <a:lnTo>
                  <a:pt x="1612" y="275"/>
                </a:lnTo>
                <a:lnTo>
                  <a:pt x="1662" y="328"/>
                </a:lnTo>
                <a:lnTo>
                  <a:pt x="1707" y="384"/>
                </a:lnTo>
                <a:lnTo>
                  <a:pt x="1748" y="444"/>
                </a:lnTo>
                <a:lnTo>
                  <a:pt x="1784" y="508"/>
                </a:lnTo>
                <a:lnTo>
                  <a:pt x="1815" y="573"/>
                </a:lnTo>
                <a:lnTo>
                  <a:pt x="1840" y="642"/>
                </a:lnTo>
                <a:lnTo>
                  <a:pt x="1862" y="713"/>
                </a:lnTo>
                <a:lnTo>
                  <a:pt x="1877" y="787"/>
                </a:lnTo>
                <a:lnTo>
                  <a:pt x="1886" y="862"/>
                </a:lnTo>
                <a:lnTo>
                  <a:pt x="1889" y="939"/>
                </a:lnTo>
                <a:lnTo>
                  <a:pt x="1886" y="1015"/>
                </a:lnTo>
                <a:lnTo>
                  <a:pt x="1877" y="1090"/>
                </a:lnTo>
                <a:lnTo>
                  <a:pt x="1862" y="1164"/>
                </a:lnTo>
                <a:lnTo>
                  <a:pt x="1840" y="1235"/>
                </a:lnTo>
                <a:lnTo>
                  <a:pt x="1815" y="1304"/>
                </a:lnTo>
                <a:lnTo>
                  <a:pt x="1784" y="1369"/>
                </a:lnTo>
                <a:lnTo>
                  <a:pt x="1748" y="1433"/>
                </a:lnTo>
                <a:lnTo>
                  <a:pt x="1707" y="1493"/>
                </a:lnTo>
                <a:lnTo>
                  <a:pt x="1662" y="1549"/>
                </a:lnTo>
                <a:lnTo>
                  <a:pt x="1612" y="1602"/>
                </a:lnTo>
                <a:lnTo>
                  <a:pt x="1559" y="1651"/>
                </a:lnTo>
                <a:lnTo>
                  <a:pt x="1502" y="1696"/>
                </a:lnTo>
                <a:lnTo>
                  <a:pt x="1442" y="1736"/>
                </a:lnTo>
                <a:lnTo>
                  <a:pt x="1379" y="1773"/>
                </a:lnTo>
                <a:lnTo>
                  <a:pt x="1312" y="1804"/>
                </a:lnTo>
                <a:lnTo>
                  <a:pt x="1243" y="1829"/>
                </a:lnTo>
                <a:lnTo>
                  <a:pt x="1171" y="1850"/>
                </a:lnTo>
                <a:lnTo>
                  <a:pt x="1097" y="1865"/>
                </a:lnTo>
                <a:lnTo>
                  <a:pt x="1022" y="1874"/>
                </a:lnTo>
                <a:lnTo>
                  <a:pt x="945" y="1877"/>
                </a:lnTo>
                <a:lnTo>
                  <a:pt x="867" y="1874"/>
                </a:lnTo>
                <a:lnTo>
                  <a:pt x="792" y="1865"/>
                </a:lnTo>
                <a:lnTo>
                  <a:pt x="718" y="1850"/>
                </a:lnTo>
                <a:lnTo>
                  <a:pt x="646" y="1829"/>
                </a:lnTo>
                <a:lnTo>
                  <a:pt x="577" y="1804"/>
                </a:lnTo>
                <a:lnTo>
                  <a:pt x="511" y="1773"/>
                </a:lnTo>
                <a:lnTo>
                  <a:pt x="447" y="1736"/>
                </a:lnTo>
                <a:lnTo>
                  <a:pt x="387" y="1696"/>
                </a:lnTo>
                <a:lnTo>
                  <a:pt x="330" y="1651"/>
                </a:lnTo>
                <a:lnTo>
                  <a:pt x="277" y="1602"/>
                </a:lnTo>
                <a:lnTo>
                  <a:pt x="227" y="1549"/>
                </a:lnTo>
                <a:lnTo>
                  <a:pt x="183" y="1493"/>
                </a:lnTo>
                <a:lnTo>
                  <a:pt x="142" y="1433"/>
                </a:lnTo>
                <a:lnTo>
                  <a:pt x="106" y="1369"/>
                </a:lnTo>
                <a:lnTo>
                  <a:pt x="75" y="1304"/>
                </a:lnTo>
                <a:lnTo>
                  <a:pt x="49" y="1235"/>
                </a:lnTo>
                <a:lnTo>
                  <a:pt x="28" y="1164"/>
                </a:lnTo>
                <a:lnTo>
                  <a:pt x="12" y="1090"/>
                </a:lnTo>
                <a:lnTo>
                  <a:pt x="3" y="1015"/>
                </a:lnTo>
                <a:lnTo>
                  <a:pt x="0" y="939"/>
                </a:lnTo>
                <a:lnTo>
                  <a:pt x="3" y="862"/>
                </a:lnTo>
                <a:lnTo>
                  <a:pt x="12" y="787"/>
                </a:lnTo>
                <a:lnTo>
                  <a:pt x="28" y="713"/>
                </a:lnTo>
                <a:lnTo>
                  <a:pt x="49" y="642"/>
                </a:lnTo>
                <a:lnTo>
                  <a:pt x="75" y="573"/>
                </a:lnTo>
                <a:lnTo>
                  <a:pt x="106" y="508"/>
                </a:lnTo>
                <a:lnTo>
                  <a:pt x="142" y="444"/>
                </a:lnTo>
                <a:lnTo>
                  <a:pt x="183" y="384"/>
                </a:lnTo>
                <a:lnTo>
                  <a:pt x="227" y="328"/>
                </a:lnTo>
                <a:lnTo>
                  <a:pt x="277" y="275"/>
                </a:lnTo>
                <a:lnTo>
                  <a:pt x="330" y="226"/>
                </a:lnTo>
                <a:lnTo>
                  <a:pt x="387" y="181"/>
                </a:lnTo>
                <a:lnTo>
                  <a:pt x="447" y="141"/>
                </a:lnTo>
                <a:lnTo>
                  <a:pt x="511" y="104"/>
                </a:lnTo>
                <a:lnTo>
                  <a:pt x="577" y="73"/>
                </a:lnTo>
                <a:lnTo>
                  <a:pt x="646" y="48"/>
                </a:lnTo>
                <a:lnTo>
                  <a:pt x="718" y="27"/>
                </a:lnTo>
                <a:lnTo>
                  <a:pt x="792" y="12"/>
                </a:lnTo>
                <a:lnTo>
                  <a:pt x="867" y="3"/>
                </a:lnTo>
                <a:lnTo>
                  <a:pt x="945" y="0"/>
                </a:lnTo>
                <a:close/>
              </a:path>
            </a:pathLst>
          </a:custGeom>
          <a:solidFill>
            <a:schemeClr val="tx2"/>
          </a:solidFill>
          <a:ln w="0">
            <a:solidFill>
              <a:schemeClr val="tx2"/>
            </a:solidFill>
            <a:prstDash val="solid"/>
            <a:round/>
            <a:headEnd/>
            <a:tailEnd/>
          </a:ln>
        </xdr:spPr>
      </xdr:sp>
    </xdr:grpSp>
    <xdr:clientData fPrintsWithSheet="0"/>
  </xdr:twoCellAnchor>
  <xdr:twoCellAnchor>
    <xdr:from>
      <xdr:col>2</xdr:col>
      <xdr:colOff>171450</xdr:colOff>
      <xdr:row>18</xdr:row>
      <xdr:rowOff>209548</xdr:rowOff>
    </xdr:from>
    <xdr:to>
      <xdr:col>9</xdr:col>
      <xdr:colOff>514351</xdr:colOff>
      <xdr:row>24</xdr:row>
      <xdr:rowOff>142875</xdr:rowOff>
    </xdr:to>
    <xdr:sp macro="" textlink="">
      <xdr:nvSpPr>
        <xdr:cNvPr id="3" name="Совет 1" descr="To configure your expense tables: Click the title cell, such as B21, and select your preferred Expense category from the drop down list. The individual expense items, such as Phone, also have a drop down list so you can reorder the list items or add new ones. &#10;&#10;To delete template tips: Click the edge of the tip to select it and then press Delete." title="To configure your expense tables:"/>
        <xdr:cNvSpPr/>
      </xdr:nvSpPr>
      <xdr:spPr>
        <a:xfrm>
          <a:off x="3419475" y="4210048"/>
          <a:ext cx="4810126" cy="1190627"/>
        </a:xfrm>
        <a:prstGeom prst="wedgeRectCallout">
          <a:avLst>
            <a:gd name="adj1" fmla="val -55627"/>
            <a:gd name="adj2" fmla="val -21758"/>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37160" rtlCol="0" anchor="t"/>
        <a:lstStyle/>
        <a:p>
          <a:pPr algn="l">
            <a:lnSpc>
              <a:spcPct val="110000"/>
            </a:lnSpc>
          </a:pPr>
          <a:r>
            <a:rPr lang="az-Cyrl-AZ" sz="900" b="1">
              <a:solidFill>
                <a:schemeClr val="tx2"/>
              </a:solidFill>
            </a:rPr>
            <a:t>Настройка таблиц расходов.</a:t>
          </a:r>
          <a:r>
            <a:rPr lang="az-Cyrl-AZ" sz="900" b="0">
              <a:solidFill>
                <a:schemeClr val="tx2"/>
              </a:solidFill>
            </a:rPr>
            <a:t> Щелкните ячейку заголовка, например </a:t>
          </a:r>
          <a:r>
            <a:rPr lang="en-US" sz="900" b="1">
              <a:solidFill>
                <a:schemeClr val="tx2"/>
              </a:solidFill>
            </a:rPr>
            <a:t>B21</a:t>
          </a:r>
          <a:r>
            <a:rPr lang="en-US" sz="900" b="0">
              <a:solidFill>
                <a:schemeClr val="tx2"/>
              </a:solidFill>
            </a:rPr>
            <a:t>, </a:t>
          </a:r>
          <a:r>
            <a:rPr lang="az-Cyrl-AZ" sz="900" b="0">
              <a:solidFill>
                <a:schemeClr val="tx2"/>
              </a:solidFill>
            </a:rPr>
            <a:t>и в раскрывающемся списке выберите нужную статью расходов. Для некоторых из них, таких как телефон, тоже есть раскрывающиеся списки. Вы можете изменить порядок элементов в списке или добавить новые.</a:t>
          </a:r>
          <a:endParaRPr lang="en-US" sz="900" b="0">
            <a:solidFill>
              <a:schemeClr val="tx2"/>
            </a:solidFill>
          </a:endParaRPr>
        </a:p>
        <a:p>
          <a:pPr algn="l">
            <a:lnSpc>
              <a:spcPct val="110000"/>
            </a:lnSpc>
          </a:pPr>
          <a:endParaRPr lang="en-US" sz="900" baseline="0">
            <a:solidFill>
              <a:schemeClr val="tx2"/>
            </a:solidFill>
          </a:endParaRPr>
        </a:p>
        <a:p>
          <a:pPr algn="l">
            <a:lnSpc>
              <a:spcPct val="110000"/>
            </a:lnSpc>
          </a:pPr>
          <a:r>
            <a:rPr lang="az-Cyrl-AZ" sz="900" b="1" baseline="0">
              <a:solidFill>
                <a:schemeClr val="tx2"/>
              </a:solidFill>
            </a:rPr>
            <a:t>Удаление советов в шаблонах. </a:t>
          </a:r>
          <a:r>
            <a:rPr lang="az-Cyrl-AZ" sz="900" b="0" baseline="0">
              <a:solidFill>
                <a:schemeClr val="tx2"/>
              </a:solidFill>
            </a:rPr>
            <a:t>Выделите совет, щелкнув его край, и нажмите клавишу</a:t>
          </a:r>
          <a:r>
            <a:rPr lang="az-Cyrl-AZ" sz="900" b="1" baseline="0">
              <a:solidFill>
                <a:schemeClr val="tx2"/>
              </a:solidFill>
            </a:rPr>
            <a:t> </a:t>
          </a:r>
          <a:r>
            <a:rPr lang="en-US" sz="900" b="1" baseline="0">
              <a:solidFill>
                <a:schemeClr val="tx2"/>
              </a:solidFill>
            </a:rPr>
            <a:t>DELETE.</a:t>
          </a:r>
          <a:endParaRPr lang="en-US" sz="900">
            <a:solidFill>
              <a:schemeClr val="tx2"/>
            </a:solidFill>
          </a:endParaRPr>
        </a:p>
      </xdr:txBody>
    </xdr:sp>
    <xdr:clientData/>
  </xdr:twoCellAnchor>
  <xdr:twoCellAnchor>
    <xdr:from>
      <xdr:col>17</xdr:col>
      <xdr:colOff>238126</xdr:colOff>
      <xdr:row>24</xdr:row>
      <xdr:rowOff>28572</xdr:rowOff>
    </xdr:from>
    <xdr:to>
      <xdr:col>19</xdr:col>
      <xdr:colOff>476250</xdr:colOff>
      <xdr:row>28</xdr:row>
      <xdr:rowOff>114300</xdr:rowOff>
    </xdr:to>
    <xdr:sp macro="" textlink="">
      <xdr:nvSpPr>
        <xdr:cNvPr id="13" name="Совет 2" descr="In the last cell above the Totals, such as P26, and press the Tab key." title="To add more rows:"/>
        <xdr:cNvSpPr/>
      </xdr:nvSpPr>
      <xdr:spPr>
        <a:xfrm>
          <a:off x="12468226" y="5286372"/>
          <a:ext cx="1581149" cy="923928"/>
        </a:xfrm>
        <a:prstGeom prst="wedgeRectCallout">
          <a:avLst>
            <a:gd name="adj1" fmla="val -63854"/>
            <a:gd name="adj2" fmla="val -20806"/>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ct val="110000"/>
            </a:lnSpc>
          </a:pPr>
          <a:r>
            <a:rPr lang="az-Cyrl-AZ" sz="900" b="1">
              <a:solidFill>
                <a:schemeClr val="tx2"/>
              </a:solidFill>
            </a:rPr>
            <a:t>Добавление строк. </a:t>
          </a:r>
          <a:r>
            <a:rPr lang="az-Cyrl-AZ" sz="900" b="0">
              <a:solidFill>
                <a:schemeClr val="tx2"/>
              </a:solidFill>
            </a:rPr>
            <a:t>Выделите последнюю ячейку над строкой итогов, например </a:t>
          </a:r>
          <a:r>
            <a:rPr lang="en-US" sz="900" b="1">
              <a:solidFill>
                <a:schemeClr val="tx2"/>
              </a:solidFill>
            </a:rPr>
            <a:t>P26</a:t>
          </a:r>
          <a:r>
            <a:rPr lang="en-US" sz="900" b="0">
              <a:solidFill>
                <a:schemeClr val="tx2"/>
              </a:solidFill>
            </a:rPr>
            <a:t>, </a:t>
          </a:r>
          <a:r>
            <a:rPr lang="az-Cyrl-AZ" sz="900" b="0">
              <a:solidFill>
                <a:schemeClr val="tx2"/>
              </a:solidFill>
            </a:rPr>
            <a:t>и нажмите клавишу </a:t>
          </a:r>
          <a:r>
            <a:rPr lang="en-US" sz="900" b="1">
              <a:solidFill>
                <a:schemeClr val="tx2"/>
              </a:solidFill>
            </a:rPr>
            <a:t>TAB</a:t>
          </a:r>
          <a:r>
            <a:rPr lang="en-US" sz="900" b="0">
              <a:solidFill>
                <a:schemeClr val="tx2"/>
              </a:solidFill>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123825</xdr:colOff>
      <xdr:row>0</xdr:row>
      <xdr:rowOff>361956</xdr:rowOff>
    </xdr:from>
    <xdr:to>
      <xdr:col>3</xdr:col>
      <xdr:colOff>235839</xdr:colOff>
      <xdr:row>2</xdr:row>
      <xdr:rowOff>45345</xdr:rowOff>
    </xdr:to>
    <xdr:grpSp>
      <xdr:nvGrpSpPr>
        <xdr:cNvPr id="2" name="Значок расходов" descr="&quot;&quot;" title="Значок расходов"/>
        <xdr:cNvGrpSpPr>
          <a:grpSpLocks noChangeAspect="1"/>
        </xdr:cNvGrpSpPr>
      </xdr:nvGrpSpPr>
      <xdr:grpSpPr bwMode="auto">
        <a:xfrm>
          <a:off x="2686050" y="361956"/>
          <a:ext cx="397764" cy="397764"/>
          <a:chOff x="436" y="814"/>
          <a:chExt cx="56" cy="56"/>
        </a:xfrm>
      </xdr:grpSpPr>
      <xdr:sp macro="" textlink="">
        <xdr:nvSpPr>
          <xdr:cNvPr id="3" name="Прямоугольник 42"/>
          <xdr:cNvSpPr>
            <a:spLocks noChangeArrowheads="1"/>
          </xdr:cNvSpPr>
        </xdr:nvSpPr>
        <xdr:spPr bwMode="auto">
          <a:xfrm>
            <a:off x="436" y="814"/>
            <a:ext cx="56" cy="56"/>
          </a:xfrm>
          <a:prstGeom prst="rect">
            <a:avLst/>
          </a:prstGeom>
          <a:noFill/>
          <a:ln w="0">
            <a:noFill/>
            <a:prstDash val="solid"/>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4" name="Полилиния 43"/>
          <xdr:cNvSpPr>
            <a:spLocks/>
          </xdr:cNvSpPr>
        </xdr:nvSpPr>
        <xdr:spPr bwMode="auto">
          <a:xfrm>
            <a:off x="436" y="815"/>
            <a:ext cx="55" cy="55"/>
          </a:xfrm>
          <a:custGeom>
            <a:avLst/>
            <a:gdLst>
              <a:gd name="T0" fmla="*/ 1676 w 3245"/>
              <a:gd name="T1" fmla="*/ 19 h 3231"/>
              <a:gd name="T2" fmla="*/ 2102 w 3245"/>
              <a:gd name="T3" fmla="*/ 90 h 3231"/>
              <a:gd name="T4" fmla="*/ 2170 w 3245"/>
              <a:gd name="T5" fmla="*/ 96 h 3231"/>
              <a:gd name="T6" fmla="*/ 2278 w 3245"/>
              <a:gd name="T7" fmla="*/ 421 h 3231"/>
              <a:gd name="T8" fmla="*/ 2608 w 3245"/>
              <a:gd name="T9" fmla="*/ 337 h 3231"/>
              <a:gd name="T10" fmla="*/ 2651 w 3245"/>
              <a:gd name="T11" fmla="*/ 391 h 3231"/>
              <a:gd name="T12" fmla="*/ 2941 w 3245"/>
              <a:gd name="T13" fmla="*/ 711 h 3231"/>
              <a:gd name="T14" fmla="*/ 2993 w 3245"/>
              <a:gd name="T15" fmla="*/ 758 h 3231"/>
              <a:gd name="T16" fmla="*/ 2879 w 3245"/>
              <a:gd name="T17" fmla="*/ 1074 h 3231"/>
              <a:gd name="T18" fmla="*/ 3192 w 3245"/>
              <a:gd name="T19" fmla="*/ 1212 h 3231"/>
              <a:gd name="T20" fmla="*/ 3192 w 3245"/>
              <a:gd name="T21" fmla="*/ 1280 h 3231"/>
              <a:gd name="T22" fmla="*/ 3232 w 3245"/>
              <a:gd name="T23" fmla="*/ 1712 h 3231"/>
              <a:gd name="T24" fmla="*/ 3241 w 3245"/>
              <a:gd name="T25" fmla="*/ 1780 h 3231"/>
              <a:gd name="T26" fmla="*/ 2950 w 3245"/>
              <a:gd name="T27" fmla="*/ 1957 h 3231"/>
              <a:gd name="T28" fmla="*/ 3120 w 3245"/>
              <a:gd name="T29" fmla="*/ 2261 h 3231"/>
              <a:gd name="T30" fmla="*/ 3079 w 3245"/>
              <a:gd name="T31" fmla="*/ 2316 h 3231"/>
              <a:gd name="T32" fmla="*/ 2841 w 3245"/>
              <a:gd name="T33" fmla="*/ 2684 h 3231"/>
              <a:gd name="T34" fmla="*/ 2808 w 3245"/>
              <a:gd name="T35" fmla="*/ 2744 h 3231"/>
              <a:gd name="T36" fmla="*/ 2472 w 3245"/>
              <a:gd name="T37" fmla="*/ 2714 h 3231"/>
              <a:gd name="T38" fmla="*/ 2414 w 3245"/>
              <a:gd name="T39" fmla="*/ 3047 h 3231"/>
              <a:gd name="T40" fmla="*/ 2348 w 3245"/>
              <a:gd name="T41" fmla="*/ 3064 h 3231"/>
              <a:gd name="T42" fmla="*/ 1938 w 3245"/>
              <a:gd name="T43" fmla="*/ 3203 h 3231"/>
              <a:gd name="T44" fmla="*/ 1886 w 3245"/>
              <a:gd name="T45" fmla="*/ 3230 h 3231"/>
              <a:gd name="T46" fmla="*/ 1827 w 3245"/>
              <a:gd name="T47" fmla="*/ 3207 h 3231"/>
              <a:gd name="T48" fmla="*/ 1389 w 3245"/>
              <a:gd name="T49" fmla="*/ 3227 h 3231"/>
              <a:gd name="T50" fmla="*/ 1321 w 3245"/>
              <a:gd name="T51" fmla="*/ 3215 h 3231"/>
              <a:gd name="T52" fmla="*/ 916 w 3245"/>
              <a:gd name="T53" fmla="*/ 3058 h 3231"/>
              <a:gd name="T54" fmla="*/ 847 w 3245"/>
              <a:gd name="T55" fmla="*/ 3057 h 3231"/>
              <a:gd name="T56" fmla="*/ 809 w 3245"/>
              <a:gd name="T57" fmla="*/ 3000 h 3231"/>
              <a:gd name="T58" fmla="*/ 459 w 3245"/>
              <a:gd name="T59" fmla="*/ 2752 h 3231"/>
              <a:gd name="T60" fmla="*/ 412 w 3245"/>
              <a:gd name="T61" fmla="*/ 2702 h 3231"/>
              <a:gd name="T62" fmla="*/ 184 w 3245"/>
              <a:gd name="T63" fmla="*/ 2322 h 3231"/>
              <a:gd name="T64" fmla="*/ 131 w 3245"/>
              <a:gd name="T65" fmla="*/ 2279 h 3231"/>
              <a:gd name="T66" fmla="*/ 136 w 3245"/>
              <a:gd name="T67" fmla="*/ 2209 h 3231"/>
              <a:gd name="T68" fmla="*/ 12 w 3245"/>
              <a:gd name="T69" fmla="*/ 1796 h 3231"/>
              <a:gd name="T70" fmla="*/ 6 w 3245"/>
              <a:gd name="T71" fmla="*/ 1727 h 3231"/>
              <a:gd name="T72" fmla="*/ 64 w 3245"/>
              <a:gd name="T73" fmla="*/ 1296 h 3231"/>
              <a:gd name="T74" fmla="*/ 47 w 3245"/>
              <a:gd name="T75" fmla="*/ 1229 h 3231"/>
              <a:gd name="T76" fmla="*/ 93 w 3245"/>
              <a:gd name="T77" fmla="*/ 1177 h 3231"/>
              <a:gd name="T78" fmla="*/ 250 w 3245"/>
              <a:gd name="T79" fmla="*/ 775 h 3231"/>
              <a:gd name="T80" fmla="*/ 287 w 3245"/>
              <a:gd name="T81" fmla="*/ 718 h 3231"/>
              <a:gd name="T82" fmla="*/ 599 w 3245"/>
              <a:gd name="T83" fmla="*/ 407 h 3231"/>
              <a:gd name="T84" fmla="*/ 628 w 3245"/>
              <a:gd name="T85" fmla="*/ 345 h 3231"/>
              <a:gd name="T86" fmla="*/ 695 w 3245"/>
              <a:gd name="T87" fmla="*/ 333 h 3231"/>
              <a:gd name="T88" fmla="*/ 1063 w 3245"/>
              <a:gd name="T89" fmla="*/ 108 h 3231"/>
              <a:gd name="T90" fmla="*/ 1128 w 3245"/>
              <a:gd name="T91" fmla="*/ 85 h 3231"/>
              <a:gd name="T92" fmla="*/ 1565 w 3245"/>
              <a:gd name="T93" fmla="*/ 32 h 3231"/>
              <a:gd name="T94" fmla="*/ 1626 w 3245"/>
              <a:gd name="T95" fmla="*/ 0 h 323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3245" h="3231">
                <a:moveTo>
                  <a:pt x="1626" y="0"/>
                </a:moveTo>
                <a:lnTo>
                  <a:pt x="1644" y="3"/>
                </a:lnTo>
                <a:lnTo>
                  <a:pt x="1661" y="9"/>
                </a:lnTo>
                <a:lnTo>
                  <a:pt x="1676" y="19"/>
                </a:lnTo>
                <a:lnTo>
                  <a:pt x="1688" y="33"/>
                </a:lnTo>
                <a:lnTo>
                  <a:pt x="1847" y="272"/>
                </a:lnTo>
                <a:lnTo>
                  <a:pt x="2086" y="98"/>
                </a:lnTo>
                <a:lnTo>
                  <a:pt x="2102" y="90"/>
                </a:lnTo>
                <a:lnTo>
                  <a:pt x="2119" y="85"/>
                </a:lnTo>
                <a:lnTo>
                  <a:pt x="2136" y="85"/>
                </a:lnTo>
                <a:lnTo>
                  <a:pt x="2154" y="89"/>
                </a:lnTo>
                <a:lnTo>
                  <a:pt x="2170" y="96"/>
                </a:lnTo>
                <a:lnTo>
                  <a:pt x="2183" y="108"/>
                </a:lnTo>
                <a:lnTo>
                  <a:pt x="2193" y="122"/>
                </a:lnTo>
                <a:lnTo>
                  <a:pt x="2200" y="139"/>
                </a:lnTo>
                <a:lnTo>
                  <a:pt x="2278" y="421"/>
                </a:lnTo>
                <a:lnTo>
                  <a:pt x="2556" y="333"/>
                </a:lnTo>
                <a:lnTo>
                  <a:pt x="2574" y="330"/>
                </a:lnTo>
                <a:lnTo>
                  <a:pt x="2591" y="331"/>
                </a:lnTo>
                <a:lnTo>
                  <a:pt x="2608" y="337"/>
                </a:lnTo>
                <a:lnTo>
                  <a:pt x="2624" y="346"/>
                </a:lnTo>
                <a:lnTo>
                  <a:pt x="2637" y="359"/>
                </a:lnTo>
                <a:lnTo>
                  <a:pt x="2646" y="374"/>
                </a:lnTo>
                <a:lnTo>
                  <a:pt x="2651" y="391"/>
                </a:lnTo>
                <a:lnTo>
                  <a:pt x="2652" y="409"/>
                </a:lnTo>
                <a:lnTo>
                  <a:pt x="2632" y="702"/>
                </a:lnTo>
                <a:lnTo>
                  <a:pt x="2924" y="708"/>
                </a:lnTo>
                <a:lnTo>
                  <a:pt x="2941" y="711"/>
                </a:lnTo>
                <a:lnTo>
                  <a:pt x="2958" y="718"/>
                </a:lnTo>
                <a:lnTo>
                  <a:pt x="2972" y="728"/>
                </a:lnTo>
                <a:lnTo>
                  <a:pt x="2985" y="742"/>
                </a:lnTo>
                <a:lnTo>
                  <a:pt x="2993" y="758"/>
                </a:lnTo>
                <a:lnTo>
                  <a:pt x="2996" y="776"/>
                </a:lnTo>
                <a:lnTo>
                  <a:pt x="2996" y="793"/>
                </a:lnTo>
                <a:lnTo>
                  <a:pt x="2991" y="811"/>
                </a:lnTo>
                <a:lnTo>
                  <a:pt x="2879" y="1074"/>
                </a:lnTo>
                <a:lnTo>
                  <a:pt x="3153" y="1177"/>
                </a:lnTo>
                <a:lnTo>
                  <a:pt x="3169" y="1185"/>
                </a:lnTo>
                <a:lnTo>
                  <a:pt x="3182" y="1197"/>
                </a:lnTo>
                <a:lnTo>
                  <a:pt x="3192" y="1212"/>
                </a:lnTo>
                <a:lnTo>
                  <a:pt x="3199" y="1229"/>
                </a:lnTo>
                <a:lnTo>
                  <a:pt x="3201" y="1246"/>
                </a:lnTo>
                <a:lnTo>
                  <a:pt x="3199" y="1264"/>
                </a:lnTo>
                <a:lnTo>
                  <a:pt x="3192" y="1280"/>
                </a:lnTo>
                <a:lnTo>
                  <a:pt x="3182" y="1295"/>
                </a:lnTo>
                <a:lnTo>
                  <a:pt x="2993" y="1506"/>
                </a:lnTo>
                <a:lnTo>
                  <a:pt x="3220" y="1699"/>
                </a:lnTo>
                <a:lnTo>
                  <a:pt x="3232" y="1712"/>
                </a:lnTo>
                <a:lnTo>
                  <a:pt x="3241" y="1727"/>
                </a:lnTo>
                <a:lnTo>
                  <a:pt x="3245" y="1745"/>
                </a:lnTo>
                <a:lnTo>
                  <a:pt x="3245" y="1763"/>
                </a:lnTo>
                <a:lnTo>
                  <a:pt x="3241" y="1780"/>
                </a:lnTo>
                <a:lnTo>
                  <a:pt x="3233" y="1796"/>
                </a:lnTo>
                <a:lnTo>
                  <a:pt x="3222" y="1810"/>
                </a:lnTo>
                <a:lnTo>
                  <a:pt x="3207" y="1820"/>
                </a:lnTo>
                <a:lnTo>
                  <a:pt x="2950" y="1957"/>
                </a:lnTo>
                <a:lnTo>
                  <a:pt x="3110" y="2209"/>
                </a:lnTo>
                <a:lnTo>
                  <a:pt x="3117" y="2225"/>
                </a:lnTo>
                <a:lnTo>
                  <a:pt x="3121" y="2244"/>
                </a:lnTo>
                <a:lnTo>
                  <a:pt x="3120" y="2261"/>
                </a:lnTo>
                <a:lnTo>
                  <a:pt x="3115" y="2278"/>
                </a:lnTo>
                <a:lnTo>
                  <a:pt x="3106" y="2294"/>
                </a:lnTo>
                <a:lnTo>
                  <a:pt x="3094" y="2307"/>
                </a:lnTo>
                <a:lnTo>
                  <a:pt x="3079" y="2316"/>
                </a:lnTo>
                <a:lnTo>
                  <a:pt x="3062" y="2322"/>
                </a:lnTo>
                <a:lnTo>
                  <a:pt x="2772" y="2379"/>
                </a:lnTo>
                <a:lnTo>
                  <a:pt x="2839" y="2666"/>
                </a:lnTo>
                <a:lnTo>
                  <a:pt x="2841" y="2684"/>
                </a:lnTo>
                <a:lnTo>
                  <a:pt x="2839" y="2702"/>
                </a:lnTo>
                <a:lnTo>
                  <a:pt x="2832" y="2718"/>
                </a:lnTo>
                <a:lnTo>
                  <a:pt x="2822" y="2733"/>
                </a:lnTo>
                <a:lnTo>
                  <a:pt x="2808" y="2744"/>
                </a:lnTo>
                <a:lnTo>
                  <a:pt x="2792" y="2752"/>
                </a:lnTo>
                <a:lnTo>
                  <a:pt x="2774" y="2756"/>
                </a:lnTo>
                <a:lnTo>
                  <a:pt x="2757" y="2756"/>
                </a:lnTo>
                <a:lnTo>
                  <a:pt x="2472" y="2714"/>
                </a:lnTo>
                <a:lnTo>
                  <a:pt x="2438" y="3001"/>
                </a:lnTo>
                <a:lnTo>
                  <a:pt x="2433" y="3018"/>
                </a:lnTo>
                <a:lnTo>
                  <a:pt x="2425" y="3034"/>
                </a:lnTo>
                <a:lnTo>
                  <a:pt x="2414" y="3047"/>
                </a:lnTo>
                <a:lnTo>
                  <a:pt x="2399" y="3057"/>
                </a:lnTo>
                <a:lnTo>
                  <a:pt x="2383" y="3064"/>
                </a:lnTo>
                <a:lnTo>
                  <a:pt x="2365" y="3066"/>
                </a:lnTo>
                <a:lnTo>
                  <a:pt x="2348" y="3064"/>
                </a:lnTo>
                <a:lnTo>
                  <a:pt x="2331" y="3058"/>
                </a:lnTo>
                <a:lnTo>
                  <a:pt x="2067" y="2926"/>
                </a:lnTo>
                <a:lnTo>
                  <a:pt x="1947" y="3187"/>
                </a:lnTo>
                <a:lnTo>
                  <a:pt x="1938" y="3203"/>
                </a:lnTo>
                <a:lnTo>
                  <a:pt x="1925" y="3215"/>
                </a:lnTo>
                <a:lnTo>
                  <a:pt x="1909" y="3225"/>
                </a:lnTo>
                <a:lnTo>
                  <a:pt x="1892" y="3230"/>
                </a:lnTo>
                <a:lnTo>
                  <a:pt x="1886" y="3230"/>
                </a:lnTo>
                <a:lnTo>
                  <a:pt x="1880" y="3231"/>
                </a:lnTo>
                <a:lnTo>
                  <a:pt x="1860" y="3228"/>
                </a:lnTo>
                <a:lnTo>
                  <a:pt x="1842" y="3220"/>
                </a:lnTo>
                <a:lnTo>
                  <a:pt x="1827" y="3207"/>
                </a:lnTo>
                <a:lnTo>
                  <a:pt x="1625" y="2997"/>
                </a:lnTo>
                <a:lnTo>
                  <a:pt x="1419" y="3208"/>
                </a:lnTo>
                <a:lnTo>
                  <a:pt x="1405" y="3220"/>
                </a:lnTo>
                <a:lnTo>
                  <a:pt x="1389" y="3227"/>
                </a:lnTo>
                <a:lnTo>
                  <a:pt x="1371" y="3231"/>
                </a:lnTo>
                <a:lnTo>
                  <a:pt x="1354" y="3229"/>
                </a:lnTo>
                <a:lnTo>
                  <a:pt x="1337" y="3224"/>
                </a:lnTo>
                <a:lnTo>
                  <a:pt x="1321" y="3215"/>
                </a:lnTo>
                <a:lnTo>
                  <a:pt x="1309" y="3203"/>
                </a:lnTo>
                <a:lnTo>
                  <a:pt x="1299" y="3188"/>
                </a:lnTo>
                <a:lnTo>
                  <a:pt x="1176" y="2926"/>
                </a:lnTo>
                <a:lnTo>
                  <a:pt x="916" y="3058"/>
                </a:lnTo>
                <a:lnTo>
                  <a:pt x="899" y="3064"/>
                </a:lnTo>
                <a:lnTo>
                  <a:pt x="881" y="3066"/>
                </a:lnTo>
                <a:lnTo>
                  <a:pt x="864" y="3064"/>
                </a:lnTo>
                <a:lnTo>
                  <a:pt x="847" y="3057"/>
                </a:lnTo>
                <a:lnTo>
                  <a:pt x="832" y="3047"/>
                </a:lnTo>
                <a:lnTo>
                  <a:pt x="821" y="3033"/>
                </a:lnTo>
                <a:lnTo>
                  <a:pt x="813" y="3018"/>
                </a:lnTo>
                <a:lnTo>
                  <a:pt x="809" y="3000"/>
                </a:lnTo>
                <a:lnTo>
                  <a:pt x="779" y="2714"/>
                </a:lnTo>
                <a:lnTo>
                  <a:pt x="495" y="2756"/>
                </a:lnTo>
                <a:lnTo>
                  <a:pt x="476" y="2756"/>
                </a:lnTo>
                <a:lnTo>
                  <a:pt x="459" y="2752"/>
                </a:lnTo>
                <a:lnTo>
                  <a:pt x="443" y="2744"/>
                </a:lnTo>
                <a:lnTo>
                  <a:pt x="429" y="2733"/>
                </a:lnTo>
                <a:lnTo>
                  <a:pt x="419" y="2718"/>
                </a:lnTo>
                <a:lnTo>
                  <a:pt x="412" y="2702"/>
                </a:lnTo>
                <a:lnTo>
                  <a:pt x="410" y="2684"/>
                </a:lnTo>
                <a:lnTo>
                  <a:pt x="412" y="2666"/>
                </a:lnTo>
                <a:lnTo>
                  <a:pt x="479" y="2379"/>
                </a:lnTo>
                <a:lnTo>
                  <a:pt x="184" y="2322"/>
                </a:lnTo>
                <a:lnTo>
                  <a:pt x="167" y="2316"/>
                </a:lnTo>
                <a:lnTo>
                  <a:pt x="152" y="2307"/>
                </a:lnTo>
                <a:lnTo>
                  <a:pt x="140" y="2294"/>
                </a:lnTo>
                <a:lnTo>
                  <a:pt x="131" y="2279"/>
                </a:lnTo>
                <a:lnTo>
                  <a:pt x="126" y="2261"/>
                </a:lnTo>
                <a:lnTo>
                  <a:pt x="125" y="2244"/>
                </a:lnTo>
                <a:lnTo>
                  <a:pt x="128" y="2226"/>
                </a:lnTo>
                <a:lnTo>
                  <a:pt x="136" y="2209"/>
                </a:lnTo>
                <a:lnTo>
                  <a:pt x="292" y="1957"/>
                </a:lnTo>
                <a:lnTo>
                  <a:pt x="39" y="1820"/>
                </a:lnTo>
                <a:lnTo>
                  <a:pt x="24" y="1810"/>
                </a:lnTo>
                <a:lnTo>
                  <a:pt x="12" y="1796"/>
                </a:lnTo>
                <a:lnTo>
                  <a:pt x="4" y="1780"/>
                </a:lnTo>
                <a:lnTo>
                  <a:pt x="0" y="1762"/>
                </a:lnTo>
                <a:lnTo>
                  <a:pt x="1" y="1744"/>
                </a:lnTo>
                <a:lnTo>
                  <a:pt x="6" y="1727"/>
                </a:lnTo>
                <a:lnTo>
                  <a:pt x="15" y="1711"/>
                </a:lnTo>
                <a:lnTo>
                  <a:pt x="27" y="1698"/>
                </a:lnTo>
                <a:lnTo>
                  <a:pt x="258" y="1506"/>
                </a:lnTo>
                <a:lnTo>
                  <a:pt x="64" y="1296"/>
                </a:lnTo>
                <a:lnTo>
                  <a:pt x="54" y="1281"/>
                </a:lnTo>
                <a:lnTo>
                  <a:pt x="47" y="1265"/>
                </a:lnTo>
                <a:lnTo>
                  <a:pt x="45" y="1247"/>
                </a:lnTo>
                <a:lnTo>
                  <a:pt x="47" y="1229"/>
                </a:lnTo>
                <a:lnTo>
                  <a:pt x="53" y="1212"/>
                </a:lnTo>
                <a:lnTo>
                  <a:pt x="63" y="1197"/>
                </a:lnTo>
                <a:lnTo>
                  <a:pt x="77" y="1186"/>
                </a:lnTo>
                <a:lnTo>
                  <a:pt x="93" y="1177"/>
                </a:lnTo>
                <a:lnTo>
                  <a:pt x="365" y="1074"/>
                </a:lnTo>
                <a:lnTo>
                  <a:pt x="255" y="810"/>
                </a:lnTo>
                <a:lnTo>
                  <a:pt x="250" y="793"/>
                </a:lnTo>
                <a:lnTo>
                  <a:pt x="250" y="775"/>
                </a:lnTo>
                <a:lnTo>
                  <a:pt x="253" y="758"/>
                </a:lnTo>
                <a:lnTo>
                  <a:pt x="261" y="742"/>
                </a:lnTo>
                <a:lnTo>
                  <a:pt x="273" y="728"/>
                </a:lnTo>
                <a:lnTo>
                  <a:pt x="287" y="718"/>
                </a:lnTo>
                <a:lnTo>
                  <a:pt x="303" y="711"/>
                </a:lnTo>
                <a:lnTo>
                  <a:pt x="321" y="708"/>
                </a:lnTo>
                <a:lnTo>
                  <a:pt x="613" y="702"/>
                </a:lnTo>
                <a:lnTo>
                  <a:pt x="599" y="407"/>
                </a:lnTo>
                <a:lnTo>
                  <a:pt x="601" y="389"/>
                </a:lnTo>
                <a:lnTo>
                  <a:pt x="606" y="373"/>
                </a:lnTo>
                <a:lnTo>
                  <a:pt x="615" y="358"/>
                </a:lnTo>
                <a:lnTo>
                  <a:pt x="628" y="345"/>
                </a:lnTo>
                <a:lnTo>
                  <a:pt x="643" y="336"/>
                </a:lnTo>
                <a:lnTo>
                  <a:pt x="660" y="331"/>
                </a:lnTo>
                <a:lnTo>
                  <a:pt x="678" y="330"/>
                </a:lnTo>
                <a:lnTo>
                  <a:pt x="695" y="333"/>
                </a:lnTo>
                <a:lnTo>
                  <a:pt x="971" y="420"/>
                </a:lnTo>
                <a:lnTo>
                  <a:pt x="1046" y="140"/>
                </a:lnTo>
                <a:lnTo>
                  <a:pt x="1053" y="123"/>
                </a:lnTo>
                <a:lnTo>
                  <a:pt x="1063" y="108"/>
                </a:lnTo>
                <a:lnTo>
                  <a:pt x="1076" y="97"/>
                </a:lnTo>
                <a:lnTo>
                  <a:pt x="1093" y="89"/>
                </a:lnTo>
                <a:lnTo>
                  <a:pt x="1110" y="85"/>
                </a:lnTo>
                <a:lnTo>
                  <a:pt x="1128" y="85"/>
                </a:lnTo>
                <a:lnTo>
                  <a:pt x="1145" y="90"/>
                </a:lnTo>
                <a:lnTo>
                  <a:pt x="1161" y="99"/>
                </a:lnTo>
                <a:lnTo>
                  <a:pt x="1397" y="272"/>
                </a:lnTo>
                <a:lnTo>
                  <a:pt x="1565" y="32"/>
                </a:lnTo>
                <a:lnTo>
                  <a:pt x="1577" y="19"/>
                </a:lnTo>
                <a:lnTo>
                  <a:pt x="1590" y="10"/>
                </a:lnTo>
                <a:lnTo>
                  <a:pt x="1607" y="4"/>
                </a:lnTo>
                <a:lnTo>
                  <a:pt x="1626" y="0"/>
                </a:lnTo>
                <a:close/>
              </a:path>
            </a:pathLst>
          </a:custGeom>
          <a:solidFill>
            <a:srgbClr val="FFFFFF"/>
          </a:solidFill>
          <a:ln w="0">
            <a:noFill/>
            <a:prstDash val="solid"/>
            <a:round/>
            <a:headEnd/>
            <a:tailEnd/>
          </a:ln>
        </xdr:spPr>
      </xdr:sp>
      <xdr:sp macro="" textlink="">
        <xdr:nvSpPr>
          <xdr:cNvPr id="5" name="Полилиния 44"/>
          <xdr:cNvSpPr>
            <a:spLocks/>
          </xdr:cNvSpPr>
        </xdr:nvSpPr>
        <xdr:spPr bwMode="auto">
          <a:xfrm>
            <a:off x="451" y="840"/>
            <a:ext cx="25" cy="6"/>
          </a:xfrm>
          <a:custGeom>
            <a:avLst/>
            <a:gdLst>
              <a:gd name="T0" fmla="*/ 70 w 1528"/>
              <a:gd name="T1" fmla="*/ 0 h 357"/>
              <a:gd name="T2" fmla="*/ 1455 w 1528"/>
              <a:gd name="T3" fmla="*/ 0 h 357"/>
              <a:gd name="T4" fmla="*/ 1471 w 1528"/>
              <a:gd name="T5" fmla="*/ 3 h 357"/>
              <a:gd name="T6" fmla="*/ 1485 w 1528"/>
              <a:gd name="T7" fmla="*/ 11 h 357"/>
              <a:gd name="T8" fmla="*/ 1497 w 1528"/>
              <a:gd name="T9" fmla="*/ 24 h 357"/>
              <a:gd name="T10" fmla="*/ 1508 w 1528"/>
              <a:gd name="T11" fmla="*/ 43 h 357"/>
              <a:gd name="T12" fmla="*/ 1515 w 1528"/>
              <a:gd name="T13" fmla="*/ 62 h 357"/>
              <a:gd name="T14" fmla="*/ 1521 w 1528"/>
              <a:gd name="T15" fmla="*/ 85 h 357"/>
              <a:gd name="T16" fmla="*/ 1525 w 1528"/>
              <a:gd name="T17" fmla="*/ 114 h 357"/>
              <a:gd name="T18" fmla="*/ 1527 w 1528"/>
              <a:gd name="T19" fmla="*/ 146 h 357"/>
              <a:gd name="T20" fmla="*/ 1528 w 1528"/>
              <a:gd name="T21" fmla="*/ 182 h 357"/>
              <a:gd name="T22" fmla="*/ 1527 w 1528"/>
              <a:gd name="T23" fmla="*/ 218 h 357"/>
              <a:gd name="T24" fmla="*/ 1524 w 1528"/>
              <a:gd name="T25" fmla="*/ 250 h 357"/>
              <a:gd name="T26" fmla="*/ 1520 w 1528"/>
              <a:gd name="T27" fmla="*/ 278 h 357"/>
              <a:gd name="T28" fmla="*/ 1513 w 1528"/>
              <a:gd name="T29" fmla="*/ 300 h 357"/>
              <a:gd name="T30" fmla="*/ 1504 w 1528"/>
              <a:gd name="T31" fmla="*/ 318 h 357"/>
              <a:gd name="T32" fmla="*/ 1492 w 1528"/>
              <a:gd name="T33" fmla="*/ 335 h 357"/>
              <a:gd name="T34" fmla="*/ 1480 w 1528"/>
              <a:gd name="T35" fmla="*/ 347 h 357"/>
              <a:gd name="T36" fmla="*/ 1467 w 1528"/>
              <a:gd name="T37" fmla="*/ 354 h 357"/>
              <a:gd name="T38" fmla="*/ 1452 w 1528"/>
              <a:gd name="T39" fmla="*/ 357 h 357"/>
              <a:gd name="T40" fmla="*/ 73 w 1528"/>
              <a:gd name="T41" fmla="*/ 357 h 357"/>
              <a:gd name="T42" fmla="*/ 59 w 1528"/>
              <a:gd name="T43" fmla="*/ 354 h 357"/>
              <a:gd name="T44" fmla="*/ 46 w 1528"/>
              <a:gd name="T45" fmla="*/ 347 h 357"/>
              <a:gd name="T46" fmla="*/ 34 w 1528"/>
              <a:gd name="T47" fmla="*/ 335 h 357"/>
              <a:gd name="T48" fmla="*/ 23 w 1528"/>
              <a:gd name="T49" fmla="*/ 318 h 357"/>
              <a:gd name="T50" fmla="*/ 15 w 1528"/>
              <a:gd name="T51" fmla="*/ 300 h 357"/>
              <a:gd name="T52" fmla="*/ 8 w 1528"/>
              <a:gd name="T53" fmla="*/ 278 h 357"/>
              <a:gd name="T54" fmla="*/ 4 w 1528"/>
              <a:gd name="T55" fmla="*/ 250 h 357"/>
              <a:gd name="T56" fmla="*/ 1 w 1528"/>
              <a:gd name="T57" fmla="*/ 218 h 357"/>
              <a:gd name="T58" fmla="*/ 0 w 1528"/>
              <a:gd name="T59" fmla="*/ 182 h 357"/>
              <a:gd name="T60" fmla="*/ 1 w 1528"/>
              <a:gd name="T61" fmla="*/ 146 h 357"/>
              <a:gd name="T62" fmla="*/ 3 w 1528"/>
              <a:gd name="T63" fmla="*/ 114 h 357"/>
              <a:gd name="T64" fmla="*/ 7 w 1528"/>
              <a:gd name="T65" fmla="*/ 85 h 357"/>
              <a:gd name="T66" fmla="*/ 12 w 1528"/>
              <a:gd name="T67" fmla="*/ 62 h 357"/>
              <a:gd name="T68" fmla="*/ 19 w 1528"/>
              <a:gd name="T69" fmla="*/ 43 h 357"/>
              <a:gd name="T70" fmla="*/ 29 w 1528"/>
              <a:gd name="T71" fmla="*/ 24 h 357"/>
              <a:gd name="T72" fmla="*/ 41 w 1528"/>
              <a:gd name="T73" fmla="*/ 11 h 357"/>
              <a:gd name="T74" fmla="*/ 55 w 1528"/>
              <a:gd name="T75" fmla="*/ 3 h 357"/>
              <a:gd name="T76" fmla="*/ 70 w 1528"/>
              <a:gd name="T77" fmla="*/ 0 h 35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Lst>
            <a:rect l="0" t="0" r="r" b="b"/>
            <a:pathLst>
              <a:path w="1528" h="357">
                <a:moveTo>
                  <a:pt x="70" y="0"/>
                </a:moveTo>
                <a:lnTo>
                  <a:pt x="1455" y="0"/>
                </a:lnTo>
                <a:lnTo>
                  <a:pt x="1471" y="3"/>
                </a:lnTo>
                <a:lnTo>
                  <a:pt x="1485" y="11"/>
                </a:lnTo>
                <a:lnTo>
                  <a:pt x="1497" y="24"/>
                </a:lnTo>
                <a:lnTo>
                  <a:pt x="1508" y="43"/>
                </a:lnTo>
                <a:lnTo>
                  <a:pt x="1515" y="62"/>
                </a:lnTo>
                <a:lnTo>
                  <a:pt x="1521" y="85"/>
                </a:lnTo>
                <a:lnTo>
                  <a:pt x="1525" y="114"/>
                </a:lnTo>
                <a:lnTo>
                  <a:pt x="1527" y="146"/>
                </a:lnTo>
                <a:lnTo>
                  <a:pt x="1528" y="182"/>
                </a:lnTo>
                <a:lnTo>
                  <a:pt x="1527" y="218"/>
                </a:lnTo>
                <a:lnTo>
                  <a:pt x="1524" y="250"/>
                </a:lnTo>
                <a:lnTo>
                  <a:pt x="1520" y="278"/>
                </a:lnTo>
                <a:lnTo>
                  <a:pt x="1513" y="300"/>
                </a:lnTo>
                <a:lnTo>
                  <a:pt x="1504" y="318"/>
                </a:lnTo>
                <a:lnTo>
                  <a:pt x="1492" y="335"/>
                </a:lnTo>
                <a:lnTo>
                  <a:pt x="1480" y="347"/>
                </a:lnTo>
                <a:lnTo>
                  <a:pt x="1467" y="354"/>
                </a:lnTo>
                <a:lnTo>
                  <a:pt x="1452" y="357"/>
                </a:lnTo>
                <a:lnTo>
                  <a:pt x="73" y="357"/>
                </a:lnTo>
                <a:lnTo>
                  <a:pt x="59" y="354"/>
                </a:lnTo>
                <a:lnTo>
                  <a:pt x="46" y="347"/>
                </a:lnTo>
                <a:lnTo>
                  <a:pt x="34" y="335"/>
                </a:lnTo>
                <a:lnTo>
                  <a:pt x="23" y="318"/>
                </a:lnTo>
                <a:lnTo>
                  <a:pt x="15" y="300"/>
                </a:lnTo>
                <a:lnTo>
                  <a:pt x="8" y="278"/>
                </a:lnTo>
                <a:lnTo>
                  <a:pt x="4" y="250"/>
                </a:lnTo>
                <a:lnTo>
                  <a:pt x="1" y="218"/>
                </a:lnTo>
                <a:lnTo>
                  <a:pt x="0" y="182"/>
                </a:lnTo>
                <a:lnTo>
                  <a:pt x="1" y="146"/>
                </a:lnTo>
                <a:lnTo>
                  <a:pt x="3" y="114"/>
                </a:lnTo>
                <a:lnTo>
                  <a:pt x="7" y="85"/>
                </a:lnTo>
                <a:lnTo>
                  <a:pt x="12" y="62"/>
                </a:lnTo>
                <a:lnTo>
                  <a:pt x="19" y="43"/>
                </a:lnTo>
                <a:lnTo>
                  <a:pt x="29" y="24"/>
                </a:lnTo>
                <a:lnTo>
                  <a:pt x="41" y="11"/>
                </a:lnTo>
                <a:lnTo>
                  <a:pt x="55" y="3"/>
                </a:lnTo>
                <a:lnTo>
                  <a:pt x="70" y="0"/>
                </a:lnTo>
                <a:close/>
              </a:path>
            </a:pathLst>
          </a:custGeom>
          <a:solidFill>
            <a:schemeClr val="tx2"/>
          </a:solidFill>
          <a:ln w="0">
            <a:noFill/>
            <a:prstDash val="solid"/>
            <a:round/>
            <a:headEnd/>
            <a:tailEnd/>
          </a:ln>
        </xdr:spPr>
      </xdr:sp>
    </xdr:grpSp>
    <xdr:clientData/>
  </xdr:twoCellAnchor>
  <xdr:twoCellAnchor>
    <xdr:from>
      <xdr:col>0</xdr:col>
      <xdr:colOff>247656</xdr:colOff>
      <xdr:row>0</xdr:row>
      <xdr:rowOff>361956</xdr:rowOff>
    </xdr:from>
    <xdr:to>
      <xdr:col>1</xdr:col>
      <xdr:colOff>197745</xdr:colOff>
      <xdr:row>2</xdr:row>
      <xdr:rowOff>45345</xdr:rowOff>
    </xdr:to>
    <xdr:grpSp>
      <xdr:nvGrpSpPr>
        <xdr:cNvPr id="6" name="Значок дохода" descr="&quot;&quot;" title="Значок дохода"/>
        <xdr:cNvGrpSpPr>
          <a:grpSpLocks noChangeAspect="1"/>
        </xdr:cNvGrpSpPr>
      </xdr:nvGrpSpPr>
      <xdr:grpSpPr bwMode="auto">
        <a:xfrm>
          <a:off x="247656" y="361956"/>
          <a:ext cx="397764" cy="397764"/>
          <a:chOff x="417" y="815"/>
          <a:chExt cx="56" cy="56"/>
        </a:xfrm>
      </xdr:grpSpPr>
      <xdr:sp macro="" textlink="">
        <xdr:nvSpPr>
          <xdr:cNvPr id="7" name="Прямоугольник 48"/>
          <xdr:cNvSpPr>
            <a:spLocks noChangeArrowheads="1"/>
          </xdr:cNvSpPr>
        </xdr:nvSpPr>
        <xdr:spPr bwMode="auto">
          <a:xfrm>
            <a:off x="417" y="815"/>
            <a:ext cx="56" cy="56"/>
          </a:xfrm>
          <a:prstGeom prst="rect">
            <a:avLst/>
          </a:prstGeom>
          <a:noFill/>
          <a:ln w="0">
            <a:noFill/>
            <a:prstDash val="solid"/>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8" name="Полилиния 49"/>
          <xdr:cNvSpPr>
            <a:spLocks/>
          </xdr:cNvSpPr>
        </xdr:nvSpPr>
        <xdr:spPr bwMode="auto">
          <a:xfrm>
            <a:off x="417" y="816"/>
            <a:ext cx="55" cy="55"/>
          </a:xfrm>
          <a:custGeom>
            <a:avLst/>
            <a:gdLst>
              <a:gd name="T0" fmla="*/ 1676 w 3245"/>
              <a:gd name="T1" fmla="*/ 19 h 3231"/>
              <a:gd name="T2" fmla="*/ 2102 w 3245"/>
              <a:gd name="T3" fmla="*/ 90 h 3231"/>
              <a:gd name="T4" fmla="*/ 2170 w 3245"/>
              <a:gd name="T5" fmla="*/ 96 h 3231"/>
              <a:gd name="T6" fmla="*/ 2278 w 3245"/>
              <a:gd name="T7" fmla="*/ 421 h 3231"/>
              <a:gd name="T8" fmla="*/ 2608 w 3245"/>
              <a:gd name="T9" fmla="*/ 337 h 3231"/>
              <a:gd name="T10" fmla="*/ 2651 w 3245"/>
              <a:gd name="T11" fmla="*/ 391 h 3231"/>
              <a:gd name="T12" fmla="*/ 2941 w 3245"/>
              <a:gd name="T13" fmla="*/ 711 h 3231"/>
              <a:gd name="T14" fmla="*/ 2993 w 3245"/>
              <a:gd name="T15" fmla="*/ 758 h 3231"/>
              <a:gd name="T16" fmla="*/ 2879 w 3245"/>
              <a:gd name="T17" fmla="*/ 1074 h 3231"/>
              <a:gd name="T18" fmla="*/ 3192 w 3245"/>
              <a:gd name="T19" fmla="*/ 1212 h 3231"/>
              <a:gd name="T20" fmla="*/ 3192 w 3245"/>
              <a:gd name="T21" fmla="*/ 1280 h 3231"/>
              <a:gd name="T22" fmla="*/ 3232 w 3245"/>
              <a:gd name="T23" fmla="*/ 1712 h 3231"/>
              <a:gd name="T24" fmla="*/ 3241 w 3245"/>
              <a:gd name="T25" fmla="*/ 1780 h 3231"/>
              <a:gd name="T26" fmla="*/ 2950 w 3245"/>
              <a:gd name="T27" fmla="*/ 1957 h 3231"/>
              <a:gd name="T28" fmla="*/ 3120 w 3245"/>
              <a:gd name="T29" fmla="*/ 2261 h 3231"/>
              <a:gd name="T30" fmla="*/ 3079 w 3245"/>
              <a:gd name="T31" fmla="*/ 2316 h 3231"/>
              <a:gd name="T32" fmla="*/ 2841 w 3245"/>
              <a:gd name="T33" fmla="*/ 2684 h 3231"/>
              <a:gd name="T34" fmla="*/ 2808 w 3245"/>
              <a:gd name="T35" fmla="*/ 2744 h 3231"/>
              <a:gd name="T36" fmla="*/ 2472 w 3245"/>
              <a:gd name="T37" fmla="*/ 2714 h 3231"/>
              <a:gd name="T38" fmla="*/ 2414 w 3245"/>
              <a:gd name="T39" fmla="*/ 3047 h 3231"/>
              <a:gd name="T40" fmla="*/ 2348 w 3245"/>
              <a:gd name="T41" fmla="*/ 3064 h 3231"/>
              <a:gd name="T42" fmla="*/ 1938 w 3245"/>
              <a:gd name="T43" fmla="*/ 3203 h 3231"/>
              <a:gd name="T44" fmla="*/ 1886 w 3245"/>
              <a:gd name="T45" fmla="*/ 3230 h 3231"/>
              <a:gd name="T46" fmla="*/ 1827 w 3245"/>
              <a:gd name="T47" fmla="*/ 3207 h 3231"/>
              <a:gd name="T48" fmla="*/ 1389 w 3245"/>
              <a:gd name="T49" fmla="*/ 3227 h 3231"/>
              <a:gd name="T50" fmla="*/ 1321 w 3245"/>
              <a:gd name="T51" fmla="*/ 3215 h 3231"/>
              <a:gd name="T52" fmla="*/ 916 w 3245"/>
              <a:gd name="T53" fmla="*/ 3058 h 3231"/>
              <a:gd name="T54" fmla="*/ 847 w 3245"/>
              <a:gd name="T55" fmla="*/ 3057 h 3231"/>
              <a:gd name="T56" fmla="*/ 809 w 3245"/>
              <a:gd name="T57" fmla="*/ 3000 h 3231"/>
              <a:gd name="T58" fmla="*/ 459 w 3245"/>
              <a:gd name="T59" fmla="*/ 2752 h 3231"/>
              <a:gd name="T60" fmla="*/ 412 w 3245"/>
              <a:gd name="T61" fmla="*/ 2702 h 3231"/>
              <a:gd name="T62" fmla="*/ 184 w 3245"/>
              <a:gd name="T63" fmla="*/ 2322 h 3231"/>
              <a:gd name="T64" fmla="*/ 131 w 3245"/>
              <a:gd name="T65" fmla="*/ 2279 h 3231"/>
              <a:gd name="T66" fmla="*/ 136 w 3245"/>
              <a:gd name="T67" fmla="*/ 2209 h 3231"/>
              <a:gd name="T68" fmla="*/ 12 w 3245"/>
              <a:gd name="T69" fmla="*/ 1796 h 3231"/>
              <a:gd name="T70" fmla="*/ 6 w 3245"/>
              <a:gd name="T71" fmla="*/ 1727 h 3231"/>
              <a:gd name="T72" fmla="*/ 64 w 3245"/>
              <a:gd name="T73" fmla="*/ 1296 h 3231"/>
              <a:gd name="T74" fmla="*/ 47 w 3245"/>
              <a:gd name="T75" fmla="*/ 1229 h 3231"/>
              <a:gd name="T76" fmla="*/ 93 w 3245"/>
              <a:gd name="T77" fmla="*/ 1177 h 3231"/>
              <a:gd name="T78" fmla="*/ 250 w 3245"/>
              <a:gd name="T79" fmla="*/ 775 h 3231"/>
              <a:gd name="T80" fmla="*/ 287 w 3245"/>
              <a:gd name="T81" fmla="*/ 718 h 3231"/>
              <a:gd name="T82" fmla="*/ 599 w 3245"/>
              <a:gd name="T83" fmla="*/ 407 h 3231"/>
              <a:gd name="T84" fmla="*/ 628 w 3245"/>
              <a:gd name="T85" fmla="*/ 345 h 3231"/>
              <a:gd name="T86" fmla="*/ 695 w 3245"/>
              <a:gd name="T87" fmla="*/ 333 h 3231"/>
              <a:gd name="T88" fmla="*/ 1063 w 3245"/>
              <a:gd name="T89" fmla="*/ 108 h 3231"/>
              <a:gd name="T90" fmla="*/ 1128 w 3245"/>
              <a:gd name="T91" fmla="*/ 85 h 3231"/>
              <a:gd name="T92" fmla="*/ 1565 w 3245"/>
              <a:gd name="T93" fmla="*/ 32 h 3231"/>
              <a:gd name="T94" fmla="*/ 1626 w 3245"/>
              <a:gd name="T95" fmla="*/ 0 h 323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3245" h="3231">
                <a:moveTo>
                  <a:pt x="1626" y="0"/>
                </a:moveTo>
                <a:lnTo>
                  <a:pt x="1644" y="3"/>
                </a:lnTo>
                <a:lnTo>
                  <a:pt x="1661" y="9"/>
                </a:lnTo>
                <a:lnTo>
                  <a:pt x="1676" y="19"/>
                </a:lnTo>
                <a:lnTo>
                  <a:pt x="1688" y="33"/>
                </a:lnTo>
                <a:lnTo>
                  <a:pt x="1847" y="272"/>
                </a:lnTo>
                <a:lnTo>
                  <a:pt x="2086" y="98"/>
                </a:lnTo>
                <a:lnTo>
                  <a:pt x="2102" y="90"/>
                </a:lnTo>
                <a:lnTo>
                  <a:pt x="2119" y="85"/>
                </a:lnTo>
                <a:lnTo>
                  <a:pt x="2136" y="85"/>
                </a:lnTo>
                <a:lnTo>
                  <a:pt x="2154" y="89"/>
                </a:lnTo>
                <a:lnTo>
                  <a:pt x="2170" y="96"/>
                </a:lnTo>
                <a:lnTo>
                  <a:pt x="2183" y="108"/>
                </a:lnTo>
                <a:lnTo>
                  <a:pt x="2193" y="122"/>
                </a:lnTo>
                <a:lnTo>
                  <a:pt x="2200" y="139"/>
                </a:lnTo>
                <a:lnTo>
                  <a:pt x="2278" y="421"/>
                </a:lnTo>
                <a:lnTo>
                  <a:pt x="2556" y="333"/>
                </a:lnTo>
                <a:lnTo>
                  <a:pt x="2574" y="330"/>
                </a:lnTo>
                <a:lnTo>
                  <a:pt x="2591" y="331"/>
                </a:lnTo>
                <a:lnTo>
                  <a:pt x="2608" y="337"/>
                </a:lnTo>
                <a:lnTo>
                  <a:pt x="2624" y="346"/>
                </a:lnTo>
                <a:lnTo>
                  <a:pt x="2637" y="359"/>
                </a:lnTo>
                <a:lnTo>
                  <a:pt x="2646" y="374"/>
                </a:lnTo>
                <a:lnTo>
                  <a:pt x="2651" y="391"/>
                </a:lnTo>
                <a:lnTo>
                  <a:pt x="2652" y="409"/>
                </a:lnTo>
                <a:lnTo>
                  <a:pt x="2632" y="702"/>
                </a:lnTo>
                <a:lnTo>
                  <a:pt x="2924" y="708"/>
                </a:lnTo>
                <a:lnTo>
                  <a:pt x="2941" y="711"/>
                </a:lnTo>
                <a:lnTo>
                  <a:pt x="2958" y="718"/>
                </a:lnTo>
                <a:lnTo>
                  <a:pt x="2972" y="728"/>
                </a:lnTo>
                <a:lnTo>
                  <a:pt x="2985" y="742"/>
                </a:lnTo>
                <a:lnTo>
                  <a:pt x="2993" y="758"/>
                </a:lnTo>
                <a:lnTo>
                  <a:pt x="2996" y="776"/>
                </a:lnTo>
                <a:lnTo>
                  <a:pt x="2996" y="793"/>
                </a:lnTo>
                <a:lnTo>
                  <a:pt x="2991" y="811"/>
                </a:lnTo>
                <a:lnTo>
                  <a:pt x="2879" y="1074"/>
                </a:lnTo>
                <a:lnTo>
                  <a:pt x="3153" y="1177"/>
                </a:lnTo>
                <a:lnTo>
                  <a:pt x="3169" y="1185"/>
                </a:lnTo>
                <a:lnTo>
                  <a:pt x="3182" y="1197"/>
                </a:lnTo>
                <a:lnTo>
                  <a:pt x="3192" y="1212"/>
                </a:lnTo>
                <a:lnTo>
                  <a:pt x="3199" y="1229"/>
                </a:lnTo>
                <a:lnTo>
                  <a:pt x="3201" y="1246"/>
                </a:lnTo>
                <a:lnTo>
                  <a:pt x="3199" y="1264"/>
                </a:lnTo>
                <a:lnTo>
                  <a:pt x="3192" y="1280"/>
                </a:lnTo>
                <a:lnTo>
                  <a:pt x="3182" y="1295"/>
                </a:lnTo>
                <a:lnTo>
                  <a:pt x="2993" y="1506"/>
                </a:lnTo>
                <a:lnTo>
                  <a:pt x="3220" y="1699"/>
                </a:lnTo>
                <a:lnTo>
                  <a:pt x="3232" y="1712"/>
                </a:lnTo>
                <a:lnTo>
                  <a:pt x="3241" y="1727"/>
                </a:lnTo>
                <a:lnTo>
                  <a:pt x="3245" y="1745"/>
                </a:lnTo>
                <a:lnTo>
                  <a:pt x="3245" y="1763"/>
                </a:lnTo>
                <a:lnTo>
                  <a:pt x="3241" y="1780"/>
                </a:lnTo>
                <a:lnTo>
                  <a:pt x="3233" y="1796"/>
                </a:lnTo>
                <a:lnTo>
                  <a:pt x="3222" y="1810"/>
                </a:lnTo>
                <a:lnTo>
                  <a:pt x="3207" y="1820"/>
                </a:lnTo>
                <a:lnTo>
                  <a:pt x="2950" y="1957"/>
                </a:lnTo>
                <a:lnTo>
                  <a:pt x="3110" y="2209"/>
                </a:lnTo>
                <a:lnTo>
                  <a:pt x="3117" y="2225"/>
                </a:lnTo>
                <a:lnTo>
                  <a:pt x="3121" y="2244"/>
                </a:lnTo>
                <a:lnTo>
                  <a:pt x="3120" y="2261"/>
                </a:lnTo>
                <a:lnTo>
                  <a:pt x="3115" y="2278"/>
                </a:lnTo>
                <a:lnTo>
                  <a:pt x="3106" y="2294"/>
                </a:lnTo>
                <a:lnTo>
                  <a:pt x="3094" y="2307"/>
                </a:lnTo>
                <a:lnTo>
                  <a:pt x="3079" y="2316"/>
                </a:lnTo>
                <a:lnTo>
                  <a:pt x="3062" y="2322"/>
                </a:lnTo>
                <a:lnTo>
                  <a:pt x="2772" y="2379"/>
                </a:lnTo>
                <a:lnTo>
                  <a:pt x="2839" y="2666"/>
                </a:lnTo>
                <a:lnTo>
                  <a:pt x="2841" y="2684"/>
                </a:lnTo>
                <a:lnTo>
                  <a:pt x="2839" y="2702"/>
                </a:lnTo>
                <a:lnTo>
                  <a:pt x="2832" y="2718"/>
                </a:lnTo>
                <a:lnTo>
                  <a:pt x="2822" y="2733"/>
                </a:lnTo>
                <a:lnTo>
                  <a:pt x="2808" y="2744"/>
                </a:lnTo>
                <a:lnTo>
                  <a:pt x="2792" y="2752"/>
                </a:lnTo>
                <a:lnTo>
                  <a:pt x="2774" y="2756"/>
                </a:lnTo>
                <a:lnTo>
                  <a:pt x="2757" y="2756"/>
                </a:lnTo>
                <a:lnTo>
                  <a:pt x="2472" y="2714"/>
                </a:lnTo>
                <a:lnTo>
                  <a:pt x="2438" y="3001"/>
                </a:lnTo>
                <a:lnTo>
                  <a:pt x="2433" y="3018"/>
                </a:lnTo>
                <a:lnTo>
                  <a:pt x="2425" y="3034"/>
                </a:lnTo>
                <a:lnTo>
                  <a:pt x="2414" y="3047"/>
                </a:lnTo>
                <a:lnTo>
                  <a:pt x="2399" y="3057"/>
                </a:lnTo>
                <a:lnTo>
                  <a:pt x="2383" y="3064"/>
                </a:lnTo>
                <a:lnTo>
                  <a:pt x="2365" y="3066"/>
                </a:lnTo>
                <a:lnTo>
                  <a:pt x="2348" y="3064"/>
                </a:lnTo>
                <a:lnTo>
                  <a:pt x="2331" y="3058"/>
                </a:lnTo>
                <a:lnTo>
                  <a:pt x="2067" y="2926"/>
                </a:lnTo>
                <a:lnTo>
                  <a:pt x="1947" y="3187"/>
                </a:lnTo>
                <a:lnTo>
                  <a:pt x="1938" y="3203"/>
                </a:lnTo>
                <a:lnTo>
                  <a:pt x="1925" y="3215"/>
                </a:lnTo>
                <a:lnTo>
                  <a:pt x="1909" y="3225"/>
                </a:lnTo>
                <a:lnTo>
                  <a:pt x="1892" y="3230"/>
                </a:lnTo>
                <a:lnTo>
                  <a:pt x="1886" y="3230"/>
                </a:lnTo>
                <a:lnTo>
                  <a:pt x="1880" y="3231"/>
                </a:lnTo>
                <a:lnTo>
                  <a:pt x="1860" y="3228"/>
                </a:lnTo>
                <a:lnTo>
                  <a:pt x="1842" y="3220"/>
                </a:lnTo>
                <a:lnTo>
                  <a:pt x="1827" y="3207"/>
                </a:lnTo>
                <a:lnTo>
                  <a:pt x="1625" y="2997"/>
                </a:lnTo>
                <a:lnTo>
                  <a:pt x="1419" y="3208"/>
                </a:lnTo>
                <a:lnTo>
                  <a:pt x="1405" y="3220"/>
                </a:lnTo>
                <a:lnTo>
                  <a:pt x="1389" y="3227"/>
                </a:lnTo>
                <a:lnTo>
                  <a:pt x="1371" y="3231"/>
                </a:lnTo>
                <a:lnTo>
                  <a:pt x="1354" y="3229"/>
                </a:lnTo>
                <a:lnTo>
                  <a:pt x="1337" y="3224"/>
                </a:lnTo>
                <a:lnTo>
                  <a:pt x="1321" y="3215"/>
                </a:lnTo>
                <a:lnTo>
                  <a:pt x="1309" y="3203"/>
                </a:lnTo>
                <a:lnTo>
                  <a:pt x="1299" y="3188"/>
                </a:lnTo>
                <a:lnTo>
                  <a:pt x="1176" y="2926"/>
                </a:lnTo>
                <a:lnTo>
                  <a:pt x="916" y="3058"/>
                </a:lnTo>
                <a:lnTo>
                  <a:pt x="899" y="3064"/>
                </a:lnTo>
                <a:lnTo>
                  <a:pt x="881" y="3066"/>
                </a:lnTo>
                <a:lnTo>
                  <a:pt x="864" y="3064"/>
                </a:lnTo>
                <a:lnTo>
                  <a:pt x="847" y="3057"/>
                </a:lnTo>
                <a:lnTo>
                  <a:pt x="832" y="3047"/>
                </a:lnTo>
                <a:lnTo>
                  <a:pt x="821" y="3033"/>
                </a:lnTo>
                <a:lnTo>
                  <a:pt x="813" y="3018"/>
                </a:lnTo>
                <a:lnTo>
                  <a:pt x="809" y="3000"/>
                </a:lnTo>
                <a:lnTo>
                  <a:pt x="779" y="2714"/>
                </a:lnTo>
                <a:lnTo>
                  <a:pt x="495" y="2756"/>
                </a:lnTo>
                <a:lnTo>
                  <a:pt x="476" y="2756"/>
                </a:lnTo>
                <a:lnTo>
                  <a:pt x="459" y="2752"/>
                </a:lnTo>
                <a:lnTo>
                  <a:pt x="443" y="2744"/>
                </a:lnTo>
                <a:lnTo>
                  <a:pt x="429" y="2733"/>
                </a:lnTo>
                <a:lnTo>
                  <a:pt x="419" y="2718"/>
                </a:lnTo>
                <a:lnTo>
                  <a:pt x="412" y="2702"/>
                </a:lnTo>
                <a:lnTo>
                  <a:pt x="410" y="2684"/>
                </a:lnTo>
                <a:lnTo>
                  <a:pt x="412" y="2666"/>
                </a:lnTo>
                <a:lnTo>
                  <a:pt x="479" y="2379"/>
                </a:lnTo>
                <a:lnTo>
                  <a:pt x="184" y="2322"/>
                </a:lnTo>
                <a:lnTo>
                  <a:pt x="167" y="2316"/>
                </a:lnTo>
                <a:lnTo>
                  <a:pt x="152" y="2307"/>
                </a:lnTo>
                <a:lnTo>
                  <a:pt x="140" y="2294"/>
                </a:lnTo>
                <a:lnTo>
                  <a:pt x="131" y="2279"/>
                </a:lnTo>
                <a:lnTo>
                  <a:pt x="126" y="2261"/>
                </a:lnTo>
                <a:lnTo>
                  <a:pt x="125" y="2244"/>
                </a:lnTo>
                <a:lnTo>
                  <a:pt x="128" y="2226"/>
                </a:lnTo>
                <a:lnTo>
                  <a:pt x="136" y="2209"/>
                </a:lnTo>
                <a:lnTo>
                  <a:pt x="292" y="1957"/>
                </a:lnTo>
                <a:lnTo>
                  <a:pt x="39" y="1820"/>
                </a:lnTo>
                <a:lnTo>
                  <a:pt x="24" y="1810"/>
                </a:lnTo>
                <a:lnTo>
                  <a:pt x="12" y="1796"/>
                </a:lnTo>
                <a:lnTo>
                  <a:pt x="4" y="1780"/>
                </a:lnTo>
                <a:lnTo>
                  <a:pt x="0" y="1762"/>
                </a:lnTo>
                <a:lnTo>
                  <a:pt x="1" y="1744"/>
                </a:lnTo>
                <a:lnTo>
                  <a:pt x="6" y="1727"/>
                </a:lnTo>
                <a:lnTo>
                  <a:pt x="15" y="1711"/>
                </a:lnTo>
                <a:lnTo>
                  <a:pt x="27" y="1698"/>
                </a:lnTo>
                <a:lnTo>
                  <a:pt x="258" y="1506"/>
                </a:lnTo>
                <a:lnTo>
                  <a:pt x="64" y="1296"/>
                </a:lnTo>
                <a:lnTo>
                  <a:pt x="54" y="1281"/>
                </a:lnTo>
                <a:lnTo>
                  <a:pt x="47" y="1265"/>
                </a:lnTo>
                <a:lnTo>
                  <a:pt x="45" y="1247"/>
                </a:lnTo>
                <a:lnTo>
                  <a:pt x="47" y="1229"/>
                </a:lnTo>
                <a:lnTo>
                  <a:pt x="53" y="1212"/>
                </a:lnTo>
                <a:lnTo>
                  <a:pt x="63" y="1197"/>
                </a:lnTo>
                <a:lnTo>
                  <a:pt x="77" y="1186"/>
                </a:lnTo>
                <a:lnTo>
                  <a:pt x="93" y="1177"/>
                </a:lnTo>
                <a:lnTo>
                  <a:pt x="365" y="1074"/>
                </a:lnTo>
                <a:lnTo>
                  <a:pt x="255" y="810"/>
                </a:lnTo>
                <a:lnTo>
                  <a:pt x="250" y="793"/>
                </a:lnTo>
                <a:lnTo>
                  <a:pt x="250" y="775"/>
                </a:lnTo>
                <a:lnTo>
                  <a:pt x="253" y="758"/>
                </a:lnTo>
                <a:lnTo>
                  <a:pt x="261" y="742"/>
                </a:lnTo>
                <a:lnTo>
                  <a:pt x="273" y="728"/>
                </a:lnTo>
                <a:lnTo>
                  <a:pt x="287" y="718"/>
                </a:lnTo>
                <a:lnTo>
                  <a:pt x="303" y="711"/>
                </a:lnTo>
                <a:lnTo>
                  <a:pt x="321" y="708"/>
                </a:lnTo>
                <a:lnTo>
                  <a:pt x="613" y="702"/>
                </a:lnTo>
                <a:lnTo>
                  <a:pt x="599" y="407"/>
                </a:lnTo>
                <a:lnTo>
                  <a:pt x="601" y="389"/>
                </a:lnTo>
                <a:lnTo>
                  <a:pt x="606" y="373"/>
                </a:lnTo>
                <a:lnTo>
                  <a:pt x="615" y="358"/>
                </a:lnTo>
                <a:lnTo>
                  <a:pt x="628" y="345"/>
                </a:lnTo>
                <a:lnTo>
                  <a:pt x="643" y="336"/>
                </a:lnTo>
                <a:lnTo>
                  <a:pt x="660" y="331"/>
                </a:lnTo>
                <a:lnTo>
                  <a:pt x="678" y="330"/>
                </a:lnTo>
                <a:lnTo>
                  <a:pt x="695" y="333"/>
                </a:lnTo>
                <a:lnTo>
                  <a:pt x="971" y="420"/>
                </a:lnTo>
                <a:lnTo>
                  <a:pt x="1046" y="140"/>
                </a:lnTo>
                <a:lnTo>
                  <a:pt x="1053" y="123"/>
                </a:lnTo>
                <a:lnTo>
                  <a:pt x="1063" y="108"/>
                </a:lnTo>
                <a:lnTo>
                  <a:pt x="1076" y="97"/>
                </a:lnTo>
                <a:lnTo>
                  <a:pt x="1093" y="89"/>
                </a:lnTo>
                <a:lnTo>
                  <a:pt x="1110" y="85"/>
                </a:lnTo>
                <a:lnTo>
                  <a:pt x="1128" y="85"/>
                </a:lnTo>
                <a:lnTo>
                  <a:pt x="1145" y="90"/>
                </a:lnTo>
                <a:lnTo>
                  <a:pt x="1161" y="99"/>
                </a:lnTo>
                <a:lnTo>
                  <a:pt x="1397" y="272"/>
                </a:lnTo>
                <a:lnTo>
                  <a:pt x="1565" y="32"/>
                </a:lnTo>
                <a:lnTo>
                  <a:pt x="1577" y="19"/>
                </a:lnTo>
                <a:lnTo>
                  <a:pt x="1590" y="10"/>
                </a:lnTo>
                <a:lnTo>
                  <a:pt x="1607" y="4"/>
                </a:lnTo>
                <a:lnTo>
                  <a:pt x="1626" y="0"/>
                </a:lnTo>
                <a:close/>
              </a:path>
            </a:pathLst>
          </a:custGeom>
          <a:solidFill>
            <a:srgbClr val="FFFFFF"/>
          </a:solidFill>
          <a:ln w="0">
            <a:noFill/>
            <a:prstDash val="solid"/>
            <a:round/>
            <a:headEnd/>
            <a:tailEnd/>
          </a:ln>
        </xdr:spPr>
      </xdr:sp>
      <xdr:sp macro="" textlink="">
        <xdr:nvSpPr>
          <xdr:cNvPr id="9" name="Полилиния 50"/>
          <xdr:cNvSpPr>
            <a:spLocks/>
          </xdr:cNvSpPr>
        </xdr:nvSpPr>
        <xdr:spPr bwMode="auto">
          <a:xfrm>
            <a:off x="432" y="832"/>
            <a:ext cx="25" cy="25"/>
          </a:xfrm>
          <a:custGeom>
            <a:avLst/>
            <a:gdLst>
              <a:gd name="T0" fmla="*/ 807 w 1528"/>
              <a:gd name="T1" fmla="*/ 1 h 1465"/>
              <a:gd name="T2" fmla="*/ 875 w 1528"/>
              <a:gd name="T3" fmla="*/ 7 h 1465"/>
              <a:gd name="T4" fmla="*/ 922 w 1528"/>
              <a:gd name="T5" fmla="*/ 19 h 1465"/>
              <a:gd name="T6" fmla="*/ 957 w 1528"/>
              <a:gd name="T7" fmla="*/ 42 h 1465"/>
              <a:gd name="T8" fmla="*/ 969 w 1528"/>
              <a:gd name="T9" fmla="*/ 73 h 1465"/>
              <a:gd name="T10" fmla="*/ 1455 w 1528"/>
              <a:gd name="T11" fmla="*/ 551 h 1465"/>
              <a:gd name="T12" fmla="*/ 1485 w 1528"/>
              <a:gd name="T13" fmla="*/ 562 h 1465"/>
              <a:gd name="T14" fmla="*/ 1508 w 1528"/>
              <a:gd name="T15" fmla="*/ 594 h 1465"/>
              <a:gd name="T16" fmla="*/ 1521 w 1528"/>
              <a:gd name="T17" fmla="*/ 636 h 1465"/>
              <a:gd name="T18" fmla="*/ 1527 w 1528"/>
              <a:gd name="T19" fmla="*/ 697 h 1465"/>
              <a:gd name="T20" fmla="*/ 1527 w 1528"/>
              <a:gd name="T21" fmla="*/ 769 h 1465"/>
              <a:gd name="T22" fmla="*/ 1520 w 1528"/>
              <a:gd name="T23" fmla="*/ 829 h 1465"/>
              <a:gd name="T24" fmla="*/ 1504 w 1528"/>
              <a:gd name="T25" fmla="*/ 869 h 1465"/>
              <a:gd name="T26" fmla="*/ 1480 w 1528"/>
              <a:gd name="T27" fmla="*/ 898 h 1465"/>
              <a:gd name="T28" fmla="*/ 1452 w 1528"/>
              <a:gd name="T29" fmla="*/ 908 h 1465"/>
              <a:gd name="T30" fmla="*/ 969 w 1528"/>
              <a:gd name="T31" fmla="*/ 1392 h 1465"/>
              <a:gd name="T32" fmla="*/ 957 w 1528"/>
              <a:gd name="T33" fmla="*/ 1423 h 1465"/>
              <a:gd name="T34" fmla="*/ 922 w 1528"/>
              <a:gd name="T35" fmla="*/ 1446 h 1465"/>
              <a:gd name="T36" fmla="*/ 875 w 1528"/>
              <a:gd name="T37" fmla="*/ 1458 h 1465"/>
              <a:gd name="T38" fmla="*/ 807 w 1528"/>
              <a:gd name="T39" fmla="*/ 1464 h 1465"/>
              <a:gd name="T40" fmla="*/ 722 w 1528"/>
              <a:gd name="T41" fmla="*/ 1464 h 1465"/>
              <a:gd name="T42" fmla="*/ 651 w 1528"/>
              <a:gd name="T43" fmla="*/ 1458 h 1465"/>
              <a:gd name="T44" fmla="*/ 603 w 1528"/>
              <a:gd name="T45" fmla="*/ 1446 h 1465"/>
              <a:gd name="T46" fmla="*/ 569 w 1528"/>
              <a:gd name="T47" fmla="*/ 1423 h 1465"/>
              <a:gd name="T48" fmla="*/ 557 w 1528"/>
              <a:gd name="T49" fmla="*/ 1392 h 1465"/>
              <a:gd name="T50" fmla="*/ 73 w 1528"/>
              <a:gd name="T51" fmla="*/ 908 h 1465"/>
              <a:gd name="T52" fmla="*/ 46 w 1528"/>
              <a:gd name="T53" fmla="*/ 898 h 1465"/>
              <a:gd name="T54" fmla="*/ 23 w 1528"/>
              <a:gd name="T55" fmla="*/ 869 h 1465"/>
              <a:gd name="T56" fmla="*/ 8 w 1528"/>
              <a:gd name="T57" fmla="*/ 829 h 1465"/>
              <a:gd name="T58" fmla="*/ 1 w 1528"/>
              <a:gd name="T59" fmla="*/ 769 h 1465"/>
              <a:gd name="T60" fmla="*/ 1 w 1528"/>
              <a:gd name="T61" fmla="*/ 697 h 1465"/>
              <a:gd name="T62" fmla="*/ 7 w 1528"/>
              <a:gd name="T63" fmla="*/ 636 h 1465"/>
              <a:gd name="T64" fmla="*/ 19 w 1528"/>
              <a:gd name="T65" fmla="*/ 594 h 1465"/>
              <a:gd name="T66" fmla="*/ 41 w 1528"/>
              <a:gd name="T67" fmla="*/ 562 h 1465"/>
              <a:gd name="T68" fmla="*/ 70 w 1528"/>
              <a:gd name="T69" fmla="*/ 551 h 1465"/>
              <a:gd name="T70" fmla="*/ 557 w 1528"/>
              <a:gd name="T71" fmla="*/ 73 h 1465"/>
              <a:gd name="T72" fmla="*/ 569 w 1528"/>
              <a:gd name="T73" fmla="*/ 42 h 1465"/>
              <a:gd name="T74" fmla="*/ 603 w 1528"/>
              <a:gd name="T75" fmla="*/ 19 h 1465"/>
              <a:gd name="T76" fmla="*/ 651 w 1528"/>
              <a:gd name="T77" fmla="*/ 7 h 1465"/>
              <a:gd name="T78" fmla="*/ 722 w 1528"/>
              <a:gd name="T79" fmla="*/ 1 h 146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Lst>
            <a:rect l="0" t="0" r="r" b="b"/>
            <a:pathLst>
              <a:path w="1528" h="1465">
                <a:moveTo>
                  <a:pt x="765" y="0"/>
                </a:moveTo>
                <a:lnTo>
                  <a:pt x="807" y="1"/>
                </a:lnTo>
                <a:lnTo>
                  <a:pt x="844" y="3"/>
                </a:lnTo>
                <a:lnTo>
                  <a:pt x="875" y="7"/>
                </a:lnTo>
                <a:lnTo>
                  <a:pt x="901" y="12"/>
                </a:lnTo>
                <a:lnTo>
                  <a:pt x="922" y="19"/>
                </a:lnTo>
                <a:lnTo>
                  <a:pt x="943" y="30"/>
                </a:lnTo>
                <a:lnTo>
                  <a:pt x="957" y="42"/>
                </a:lnTo>
                <a:lnTo>
                  <a:pt x="966" y="56"/>
                </a:lnTo>
                <a:lnTo>
                  <a:pt x="969" y="73"/>
                </a:lnTo>
                <a:lnTo>
                  <a:pt x="969" y="551"/>
                </a:lnTo>
                <a:lnTo>
                  <a:pt x="1455" y="551"/>
                </a:lnTo>
                <a:lnTo>
                  <a:pt x="1471" y="554"/>
                </a:lnTo>
                <a:lnTo>
                  <a:pt x="1485" y="562"/>
                </a:lnTo>
                <a:lnTo>
                  <a:pt x="1497" y="575"/>
                </a:lnTo>
                <a:lnTo>
                  <a:pt x="1508" y="594"/>
                </a:lnTo>
                <a:lnTo>
                  <a:pt x="1515" y="613"/>
                </a:lnTo>
                <a:lnTo>
                  <a:pt x="1521" y="636"/>
                </a:lnTo>
                <a:lnTo>
                  <a:pt x="1525" y="665"/>
                </a:lnTo>
                <a:lnTo>
                  <a:pt x="1527" y="697"/>
                </a:lnTo>
                <a:lnTo>
                  <a:pt x="1528" y="733"/>
                </a:lnTo>
                <a:lnTo>
                  <a:pt x="1527" y="769"/>
                </a:lnTo>
                <a:lnTo>
                  <a:pt x="1524" y="801"/>
                </a:lnTo>
                <a:lnTo>
                  <a:pt x="1520" y="829"/>
                </a:lnTo>
                <a:lnTo>
                  <a:pt x="1513" y="851"/>
                </a:lnTo>
                <a:lnTo>
                  <a:pt x="1504" y="869"/>
                </a:lnTo>
                <a:lnTo>
                  <a:pt x="1492" y="886"/>
                </a:lnTo>
                <a:lnTo>
                  <a:pt x="1480" y="898"/>
                </a:lnTo>
                <a:lnTo>
                  <a:pt x="1467" y="905"/>
                </a:lnTo>
                <a:lnTo>
                  <a:pt x="1452" y="908"/>
                </a:lnTo>
                <a:lnTo>
                  <a:pt x="969" y="908"/>
                </a:lnTo>
                <a:lnTo>
                  <a:pt x="969" y="1392"/>
                </a:lnTo>
                <a:lnTo>
                  <a:pt x="966" y="1409"/>
                </a:lnTo>
                <a:lnTo>
                  <a:pt x="957" y="1423"/>
                </a:lnTo>
                <a:lnTo>
                  <a:pt x="943" y="1436"/>
                </a:lnTo>
                <a:lnTo>
                  <a:pt x="922" y="1446"/>
                </a:lnTo>
                <a:lnTo>
                  <a:pt x="901" y="1453"/>
                </a:lnTo>
                <a:lnTo>
                  <a:pt x="875" y="1458"/>
                </a:lnTo>
                <a:lnTo>
                  <a:pt x="844" y="1462"/>
                </a:lnTo>
                <a:lnTo>
                  <a:pt x="807" y="1464"/>
                </a:lnTo>
                <a:lnTo>
                  <a:pt x="765" y="1465"/>
                </a:lnTo>
                <a:lnTo>
                  <a:pt x="722" y="1464"/>
                </a:lnTo>
                <a:lnTo>
                  <a:pt x="684" y="1462"/>
                </a:lnTo>
                <a:lnTo>
                  <a:pt x="651" y="1458"/>
                </a:lnTo>
                <a:lnTo>
                  <a:pt x="625" y="1453"/>
                </a:lnTo>
                <a:lnTo>
                  <a:pt x="603" y="1446"/>
                </a:lnTo>
                <a:lnTo>
                  <a:pt x="583" y="1436"/>
                </a:lnTo>
                <a:lnTo>
                  <a:pt x="569" y="1423"/>
                </a:lnTo>
                <a:lnTo>
                  <a:pt x="560" y="1409"/>
                </a:lnTo>
                <a:lnTo>
                  <a:pt x="557" y="1392"/>
                </a:lnTo>
                <a:lnTo>
                  <a:pt x="557" y="908"/>
                </a:lnTo>
                <a:lnTo>
                  <a:pt x="73" y="908"/>
                </a:lnTo>
                <a:lnTo>
                  <a:pt x="59" y="905"/>
                </a:lnTo>
                <a:lnTo>
                  <a:pt x="46" y="898"/>
                </a:lnTo>
                <a:lnTo>
                  <a:pt x="34" y="886"/>
                </a:lnTo>
                <a:lnTo>
                  <a:pt x="23" y="869"/>
                </a:lnTo>
                <a:lnTo>
                  <a:pt x="15" y="851"/>
                </a:lnTo>
                <a:lnTo>
                  <a:pt x="8" y="829"/>
                </a:lnTo>
                <a:lnTo>
                  <a:pt x="4" y="801"/>
                </a:lnTo>
                <a:lnTo>
                  <a:pt x="1" y="769"/>
                </a:lnTo>
                <a:lnTo>
                  <a:pt x="0" y="733"/>
                </a:lnTo>
                <a:lnTo>
                  <a:pt x="1" y="697"/>
                </a:lnTo>
                <a:lnTo>
                  <a:pt x="3" y="665"/>
                </a:lnTo>
                <a:lnTo>
                  <a:pt x="7" y="636"/>
                </a:lnTo>
                <a:lnTo>
                  <a:pt x="12" y="613"/>
                </a:lnTo>
                <a:lnTo>
                  <a:pt x="19" y="594"/>
                </a:lnTo>
                <a:lnTo>
                  <a:pt x="29" y="575"/>
                </a:lnTo>
                <a:lnTo>
                  <a:pt x="41" y="562"/>
                </a:lnTo>
                <a:lnTo>
                  <a:pt x="55" y="554"/>
                </a:lnTo>
                <a:lnTo>
                  <a:pt x="70" y="551"/>
                </a:lnTo>
                <a:lnTo>
                  <a:pt x="557" y="551"/>
                </a:lnTo>
                <a:lnTo>
                  <a:pt x="557" y="73"/>
                </a:lnTo>
                <a:lnTo>
                  <a:pt x="560" y="56"/>
                </a:lnTo>
                <a:lnTo>
                  <a:pt x="569" y="42"/>
                </a:lnTo>
                <a:lnTo>
                  <a:pt x="583" y="30"/>
                </a:lnTo>
                <a:lnTo>
                  <a:pt x="603" y="19"/>
                </a:lnTo>
                <a:lnTo>
                  <a:pt x="625" y="12"/>
                </a:lnTo>
                <a:lnTo>
                  <a:pt x="651" y="7"/>
                </a:lnTo>
                <a:lnTo>
                  <a:pt x="684" y="3"/>
                </a:lnTo>
                <a:lnTo>
                  <a:pt x="722" y="1"/>
                </a:lnTo>
                <a:lnTo>
                  <a:pt x="765" y="0"/>
                </a:lnTo>
                <a:close/>
              </a:path>
            </a:pathLst>
          </a:custGeom>
          <a:solidFill>
            <a:schemeClr val="tx2"/>
          </a:solidFill>
          <a:ln w="0">
            <a:noFill/>
            <a:prstDash val="solid"/>
            <a:round/>
            <a:headEnd/>
            <a:tailEnd/>
          </a:ln>
        </xdr:spPr>
      </xdr:sp>
    </xdr:grpSp>
    <xdr:clientData/>
  </xdr:twoCellAnchor>
  <xdr:twoCellAnchor>
    <xdr:from>
      <xdr:col>9</xdr:col>
      <xdr:colOff>2714625</xdr:colOff>
      <xdr:row>0</xdr:row>
      <xdr:rowOff>95251</xdr:rowOff>
    </xdr:from>
    <xdr:to>
      <xdr:col>11</xdr:col>
      <xdr:colOff>771525</xdr:colOff>
      <xdr:row>0</xdr:row>
      <xdr:rowOff>333375</xdr:rowOff>
    </xdr:to>
    <xdr:sp macro="" textlink="">
      <xdr:nvSpPr>
        <xdr:cNvPr id="30" name="Назад к обзору" descr="Click to return to the Dashboard sheet" title="Назад к обзору">
          <a:hlinkClick xmlns:r="http://schemas.openxmlformats.org/officeDocument/2006/relationships" r:id="rId1" tooltip="Click to return to the Dashboard"/>
        </xdr:cNvPr>
        <xdr:cNvSpPr txBox="1"/>
      </xdr:nvSpPr>
      <xdr:spPr>
        <a:xfrm>
          <a:off x="12696825" y="95251"/>
          <a:ext cx="2038350" cy="238124"/>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r>
            <a:rPr lang="az-Cyrl-AZ" sz="800" b="1" spc="40" baseline="0">
              <a:solidFill>
                <a:schemeClr val="bg1"/>
              </a:solidFill>
              <a:latin typeface="+mj-lt"/>
            </a:rPr>
            <a:t>Вернуться к общим сведениям</a:t>
          </a:r>
          <a:endParaRPr lang="en-US" sz="800" b="1" spc="40" baseline="0">
            <a:solidFill>
              <a:schemeClr val="bg1"/>
            </a:solidFill>
            <a:latin typeface="+mj-lt"/>
          </a:endParaRPr>
        </a:p>
      </xdr:txBody>
    </xdr:sp>
    <xdr:clientData fPrintsWithSheet="0"/>
  </xdr:twoCellAnchor>
  <xdr:twoCellAnchor editAs="oneCell">
    <xdr:from>
      <xdr:col>9</xdr:col>
      <xdr:colOff>2847975</xdr:colOff>
      <xdr:row>0</xdr:row>
      <xdr:rowOff>28575</xdr:rowOff>
    </xdr:from>
    <xdr:to>
      <xdr:col>10</xdr:col>
      <xdr:colOff>89535</xdr:colOff>
      <xdr:row>0</xdr:row>
      <xdr:rowOff>394335</xdr:rowOff>
    </xdr:to>
    <xdr:sp macro="" textlink="">
      <xdr:nvSpPr>
        <xdr:cNvPr id="33" name="Прямоугольник 60"/>
        <xdr:cNvSpPr>
          <a:spLocks noChangeArrowheads="1"/>
        </xdr:cNvSpPr>
      </xdr:nvSpPr>
      <xdr:spPr bwMode="auto">
        <a:xfrm>
          <a:off x="12830175" y="28575"/>
          <a:ext cx="365760" cy="365760"/>
        </a:xfrm>
        <a:prstGeom prst="rect">
          <a:avLst/>
        </a:prstGeom>
        <a:noFill/>
        <a:ln w="0">
          <a:noFill/>
          <a:prstDash val="solid"/>
          <a:miter lim="800000"/>
          <a:headEnd/>
          <a:tailEnd/>
        </a:ln>
        <a:extLst>
          <a:ext uri="{909E8E84-426E-40DD-AFC4-6F175D3DCCD1}">
            <a14:hiddenFill xmlns:a14="http://schemas.microsoft.com/office/drawing/2010/main">
              <a:solidFill>
                <a:srgbClr val="FFFFFF"/>
              </a:solidFill>
            </a14:hiddenFill>
          </a:ext>
        </a:extLst>
      </xdr:spPr>
    </xdr:sp>
    <xdr:clientData fPrintsWithSheet="0"/>
  </xdr:twoCellAnchor>
  <xdr:twoCellAnchor editAs="oneCell">
    <xdr:from>
      <xdr:col>9</xdr:col>
      <xdr:colOff>2438400</xdr:colOff>
      <xdr:row>0</xdr:row>
      <xdr:rowOff>28575</xdr:rowOff>
    </xdr:from>
    <xdr:to>
      <xdr:col>9</xdr:col>
      <xdr:colOff>2796032</xdr:colOff>
      <xdr:row>0</xdr:row>
      <xdr:rowOff>386207</xdr:rowOff>
    </xdr:to>
    <xdr:sp macro="" textlink="">
      <xdr:nvSpPr>
        <xdr:cNvPr id="34" name="Полилиния 61"/>
        <xdr:cNvSpPr>
          <a:spLocks/>
        </xdr:cNvSpPr>
      </xdr:nvSpPr>
      <xdr:spPr bwMode="auto">
        <a:xfrm>
          <a:off x="12420600" y="28575"/>
          <a:ext cx="357632" cy="357632"/>
        </a:xfrm>
        <a:custGeom>
          <a:avLst/>
          <a:gdLst>
            <a:gd name="T0" fmla="*/ 1672 w 3238"/>
            <a:gd name="T1" fmla="*/ 18 h 3203"/>
            <a:gd name="T2" fmla="*/ 2098 w 3238"/>
            <a:gd name="T3" fmla="*/ 88 h 3203"/>
            <a:gd name="T4" fmla="*/ 2165 w 3238"/>
            <a:gd name="T5" fmla="*/ 95 h 3203"/>
            <a:gd name="T6" fmla="*/ 2274 w 3238"/>
            <a:gd name="T7" fmla="*/ 416 h 3203"/>
            <a:gd name="T8" fmla="*/ 2603 w 3238"/>
            <a:gd name="T9" fmla="*/ 332 h 3203"/>
            <a:gd name="T10" fmla="*/ 2646 w 3238"/>
            <a:gd name="T11" fmla="*/ 386 h 3203"/>
            <a:gd name="T12" fmla="*/ 2936 w 3238"/>
            <a:gd name="T13" fmla="*/ 704 h 3203"/>
            <a:gd name="T14" fmla="*/ 2986 w 3238"/>
            <a:gd name="T15" fmla="*/ 751 h 3203"/>
            <a:gd name="T16" fmla="*/ 2874 w 3238"/>
            <a:gd name="T17" fmla="*/ 1064 h 3203"/>
            <a:gd name="T18" fmla="*/ 3186 w 3238"/>
            <a:gd name="T19" fmla="*/ 1201 h 3203"/>
            <a:gd name="T20" fmla="*/ 3186 w 3238"/>
            <a:gd name="T21" fmla="*/ 1269 h 3203"/>
            <a:gd name="T22" fmla="*/ 3225 w 3238"/>
            <a:gd name="T23" fmla="*/ 1696 h 3203"/>
            <a:gd name="T24" fmla="*/ 3234 w 3238"/>
            <a:gd name="T25" fmla="*/ 1765 h 3203"/>
            <a:gd name="T26" fmla="*/ 2944 w 3238"/>
            <a:gd name="T27" fmla="*/ 1940 h 3203"/>
            <a:gd name="T28" fmla="*/ 3114 w 3238"/>
            <a:gd name="T29" fmla="*/ 2241 h 3203"/>
            <a:gd name="T30" fmla="*/ 3073 w 3238"/>
            <a:gd name="T31" fmla="*/ 2295 h 3203"/>
            <a:gd name="T32" fmla="*/ 2835 w 3238"/>
            <a:gd name="T33" fmla="*/ 2661 h 3203"/>
            <a:gd name="T34" fmla="*/ 2802 w 3238"/>
            <a:gd name="T35" fmla="*/ 2722 h 3203"/>
            <a:gd name="T36" fmla="*/ 2466 w 3238"/>
            <a:gd name="T37" fmla="*/ 2690 h 3203"/>
            <a:gd name="T38" fmla="*/ 2408 w 3238"/>
            <a:gd name="T39" fmla="*/ 3020 h 3203"/>
            <a:gd name="T40" fmla="*/ 2343 w 3238"/>
            <a:gd name="T41" fmla="*/ 3037 h 3203"/>
            <a:gd name="T42" fmla="*/ 1933 w 3238"/>
            <a:gd name="T43" fmla="*/ 3176 h 3203"/>
            <a:gd name="T44" fmla="*/ 1883 w 3238"/>
            <a:gd name="T45" fmla="*/ 3203 h 3203"/>
            <a:gd name="T46" fmla="*/ 1834 w 3238"/>
            <a:gd name="T47" fmla="*/ 3190 h 3203"/>
            <a:gd name="T48" fmla="*/ 1402 w 3238"/>
            <a:gd name="T49" fmla="*/ 3192 h 3203"/>
            <a:gd name="T50" fmla="*/ 1333 w 3238"/>
            <a:gd name="T51" fmla="*/ 3197 h 3203"/>
            <a:gd name="T52" fmla="*/ 1174 w 3238"/>
            <a:gd name="T53" fmla="*/ 2900 h 3203"/>
            <a:gd name="T54" fmla="*/ 862 w 3238"/>
            <a:gd name="T55" fmla="*/ 3037 h 3203"/>
            <a:gd name="T56" fmla="*/ 812 w 3238"/>
            <a:gd name="T57" fmla="*/ 2991 h 3203"/>
            <a:gd name="T58" fmla="*/ 475 w 3238"/>
            <a:gd name="T59" fmla="*/ 2733 h 3203"/>
            <a:gd name="T60" fmla="*/ 418 w 3238"/>
            <a:gd name="T61" fmla="*/ 2694 h 3203"/>
            <a:gd name="T62" fmla="*/ 477 w 3238"/>
            <a:gd name="T63" fmla="*/ 2358 h 3203"/>
            <a:gd name="T64" fmla="*/ 140 w 3238"/>
            <a:gd name="T65" fmla="*/ 2274 h 3203"/>
            <a:gd name="T66" fmla="*/ 128 w 3238"/>
            <a:gd name="T67" fmla="*/ 2207 h 3203"/>
            <a:gd name="T68" fmla="*/ 24 w 3238"/>
            <a:gd name="T69" fmla="*/ 1794 h 3203"/>
            <a:gd name="T70" fmla="*/ 1 w 3238"/>
            <a:gd name="T71" fmla="*/ 1728 h 3203"/>
            <a:gd name="T72" fmla="*/ 257 w 3238"/>
            <a:gd name="T73" fmla="*/ 1494 h 3203"/>
            <a:gd name="T74" fmla="*/ 45 w 3238"/>
            <a:gd name="T75" fmla="*/ 1236 h 3203"/>
            <a:gd name="T76" fmla="*/ 77 w 3238"/>
            <a:gd name="T77" fmla="*/ 1175 h 3203"/>
            <a:gd name="T78" fmla="*/ 250 w 3238"/>
            <a:gd name="T79" fmla="*/ 785 h 3203"/>
            <a:gd name="T80" fmla="*/ 273 w 3238"/>
            <a:gd name="T81" fmla="*/ 721 h 3203"/>
            <a:gd name="T82" fmla="*/ 611 w 3238"/>
            <a:gd name="T83" fmla="*/ 695 h 3203"/>
            <a:gd name="T84" fmla="*/ 614 w 3238"/>
            <a:gd name="T85" fmla="*/ 354 h 3203"/>
            <a:gd name="T86" fmla="*/ 676 w 3238"/>
            <a:gd name="T87" fmla="*/ 326 h 3203"/>
            <a:gd name="T88" fmla="*/ 1050 w 3238"/>
            <a:gd name="T89" fmla="*/ 121 h 3203"/>
            <a:gd name="T90" fmla="*/ 1108 w 3238"/>
            <a:gd name="T91" fmla="*/ 83 h 3203"/>
            <a:gd name="T92" fmla="*/ 1394 w 3238"/>
            <a:gd name="T93" fmla="*/ 269 h 3203"/>
            <a:gd name="T94" fmla="*/ 1604 w 3238"/>
            <a:gd name="T95" fmla="*/ 3 h 320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3238" h="3203">
              <a:moveTo>
                <a:pt x="1623" y="0"/>
              </a:moveTo>
              <a:lnTo>
                <a:pt x="1641" y="2"/>
              </a:lnTo>
              <a:lnTo>
                <a:pt x="1657" y="8"/>
              </a:lnTo>
              <a:lnTo>
                <a:pt x="1672" y="18"/>
              </a:lnTo>
              <a:lnTo>
                <a:pt x="1684" y="32"/>
              </a:lnTo>
              <a:lnTo>
                <a:pt x="1843" y="268"/>
              </a:lnTo>
              <a:lnTo>
                <a:pt x="2081" y="96"/>
              </a:lnTo>
              <a:lnTo>
                <a:pt x="2098" y="88"/>
              </a:lnTo>
              <a:lnTo>
                <a:pt x="2115" y="84"/>
              </a:lnTo>
              <a:lnTo>
                <a:pt x="2132" y="83"/>
              </a:lnTo>
              <a:lnTo>
                <a:pt x="2150" y="87"/>
              </a:lnTo>
              <a:lnTo>
                <a:pt x="2165" y="95"/>
              </a:lnTo>
              <a:lnTo>
                <a:pt x="2179" y="106"/>
              </a:lnTo>
              <a:lnTo>
                <a:pt x="2189" y="120"/>
              </a:lnTo>
              <a:lnTo>
                <a:pt x="2196" y="136"/>
              </a:lnTo>
              <a:lnTo>
                <a:pt x="2274" y="416"/>
              </a:lnTo>
              <a:lnTo>
                <a:pt x="2551" y="329"/>
              </a:lnTo>
              <a:lnTo>
                <a:pt x="2568" y="326"/>
              </a:lnTo>
              <a:lnTo>
                <a:pt x="2586" y="327"/>
              </a:lnTo>
              <a:lnTo>
                <a:pt x="2603" y="332"/>
              </a:lnTo>
              <a:lnTo>
                <a:pt x="2618" y="342"/>
              </a:lnTo>
              <a:lnTo>
                <a:pt x="2631" y="354"/>
              </a:lnTo>
              <a:lnTo>
                <a:pt x="2641" y="369"/>
              </a:lnTo>
              <a:lnTo>
                <a:pt x="2646" y="386"/>
              </a:lnTo>
              <a:lnTo>
                <a:pt x="2647" y="404"/>
              </a:lnTo>
              <a:lnTo>
                <a:pt x="2626" y="695"/>
              </a:lnTo>
              <a:lnTo>
                <a:pt x="2918" y="701"/>
              </a:lnTo>
              <a:lnTo>
                <a:pt x="2936" y="704"/>
              </a:lnTo>
              <a:lnTo>
                <a:pt x="2952" y="711"/>
              </a:lnTo>
              <a:lnTo>
                <a:pt x="2967" y="721"/>
              </a:lnTo>
              <a:lnTo>
                <a:pt x="2979" y="735"/>
              </a:lnTo>
              <a:lnTo>
                <a:pt x="2986" y="751"/>
              </a:lnTo>
              <a:lnTo>
                <a:pt x="2990" y="768"/>
              </a:lnTo>
              <a:lnTo>
                <a:pt x="2989" y="786"/>
              </a:lnTo>
              <a:lnTo>
                <a:pt x="2984" y="804"/>
              </a:lnTo>
              <a:lnTo>
                <a:pt x="2874" y="1064"/>
              </a:lnTo>
              <a:lnTo>
                <a:pt x="3146" y="1166"/>
              </a:lnTo>
              <a:lnTo>
                <a:pt x="3162" y="1175"/>
              </a:lnTo>
              <a:lnTo>
                <a:pt x="3176" y="1187"/>
              </a:lnTo>
              <a:lnTo>
                <a:pt x="3186" y="1201"/>
              </a:lnTo>
              <a:lnTo>
                <a:pt x="3192" y="1218"/>
              </a:lnTo>
              <a:lnTo>
                <a:pt x="3194" y="1235"/>
              </a:lnTo>
              <a:lnTo>
                <a:pt x="3192" y="1253"/>
              </a:lnTo>
              <a:lnTo>
                <a:pt x="3186" y="1269"/>
              </a:lnTo>
              <a:lnTo>
                <a:pt x="3176" y="1284"/>
              </a:lnTo>
              <a:lnTo>
                <a:pt x="2986" y="1494"/>
              </a:lnTo>
              <a:lnTo>
                <a:pt x="3213" y="1683"/>
              </a:lnTo>
              <a:lnTo>
                <a:pt x="3225" y="1696"/>
              </a:lnTo>
              <a:lnTo>
                <a:pt x="3234" y="1712"/>
              </a:lnTo>
              <a:lnTo>
                <a:pt x="3238" y="1729"/>
              </a:lnTo>
              <a:lnTo>
                <a:pt x="3238" y="1746"/>
              </a:lnTo>
              <a:lnTo>
                <a:pt x="3234" y="1765"/>
              </a:lnTo>
              <a:lnTo>
                <a:pt x="3226" y="1781"/>
              </a:lnTo>
              <a:lnTo>
                <a:pt x="3215" y="1794"/>
              </a:lnTo>
              <a:lnTo>
                <a:pt x="3200" y="1805"/>
              </a:lnTo>
              <a:lnTo>
                <a:pt x="2944" y="1940"/>
              </a:lnTo>
              <a:lnTo>
                <a:pt x="3103" y="2190"/>
              </a:lnTo>
              <a:lnTo>
                <a:pt x="3111" y="2206"/>
              </a:lnTo>
              <a:lnTo>
                <a:pt x="3114" y="2224"/>
              </a:lnTo>
              <a:lnTo>
                <a:pt x="3114" y="2241"/>
              </a:lnTo>
              <a:lnTo>
                <a:pt x="3109" y="2258"/>
              </a:lnTo>
              <a:lnTo>
                <a:pt x="3100" y="2274"/>
              </a:lnTo>
              <a:lnTo>
                <a:pt x="3087" y="2286"/>
              </a:lnTo>
              <a:lnTo>
                <a:pt x="3073" y="2295"/>
              </a:lnTo>
              <a:lnTo>
                <a:pt x="3055" y="2301"/>
              </a:lnTo>
              <a:lnTo>
                <a:pt x="2767" y="2358"/>
              </a:lnTo>
              <a:lnTo>
                <a:pt x="2833" y="2643"/>
              </a:lnTo>
              <a:lnTo>
                <a:pt x="2835" y="2661"/>
              </a:lnTo>
              <a:lnTo>
                <a:pt x="2833" y="2678"/>
              </a:lnTo>
              <a:lnTo>
                <a:pt x="2827" y="2694"/>
              </a:lnTo>
              <a:lnTo>
                <a:pt x="2816" y="2709"/>
              </a:lnTo>
              <a:lnTo>
                <a:pt x="2802" y="2722"/>
              </a:lnTo>
              <a:lnTo>
                <a:pt x="2786" y="2729"/>
              </a:lnTo>
              <a:lnTo>
                <a:pt x="2769" y="2733"/>
              </a:lnTo>
              <a:lnTo>
                <a:pt x="2751" y="2733"/>
              </a:lnTo>
              <a:lnTo>
                <a:pt x="2466" y="2690"/>
              </a:lnTo>
              <a:lnTo>
                <a:pt x="2433" y="2975"/>
              </a:lnTo>
              <a:lnTo>
                <a:pt x="2428" y="2992"/>
              </a:lnTo>
              <a:lnTo>
                <a:pt x="2420" y="3007"/>
              </a:lnTo>
              <a:lnTo>
                <a:pt x="2408" y="3020"/>
              </a:lnTo>
              <a:lnTo>
                <a:pt x="2394" y="3031"/>
              </a:lnTo>
              <a:lnTo>
                <a:pt x="2377" y="3037"/>
              </a:lnTo>
              <a:lnTo>
                <a:pt x="2360" y="3039"/>
              </a:lnTo>
              <a:lnTo>
                <a:pt x="2343" y="3037"/>
              </a:lnTo>
              <a:lnTo>
                <a:pt x="2326" y="3032"/>
              </a:lnTo>
              <a:lnTo>
                <a:pt x="2063" y="2900"/>
              </a:lnTo>
              <a:lnTo>
                <a:pt x="1943" y="3160"/>
              </a:lnTo>
              <a:lnTo>
                <a:pt x="1933" y="3176"/>
              </a:lnTo>
              <a:lnTo>
                <a:pt x="1921" y="3188"/>
              </a:lnTo>
              <a:lnTo>
                <a:pt x="1906" y="3197"/>
              </a:lnTo>
              <a:lnTo>
                <a:pt x="1889" y="3202"/>
              </a:lnTo>
              <a:lnTo>
                <a:pt x="1883" y="3203"/>
              </a:lnTo>
              <a:lnTo>
                <a:pt x="1875" y="3203"/>
              </a:lnTo>
              <a:lnTo>
                <a:pt x="1861" y="3201"/>
              </a:lnTo>
              <a:lnTo>
                <a:pt x="1847" y="3197"/>
              </a:lnTo>
              <a:lnTo>
                <a:pt x="1834" y="3190"/>
              </a:lnTo>
              <a:lnTo>
                <a:pt x="1823" y="3180"/>
              </a:lnTo>
              <a:lnTo>
                <a:pt x="1622" y="2970"/>
              </a:lnTo>
              <a:lnTo>
                <a:pt x="1416" y="3181"/>
              </a:lnTo>
              <a:lnTo>
                <a:pt x="1402" y="3192"/>
              </a:lnTo>
              <a:lnTo>
                <a:pt x="1386" y="3200"/>
              </a:lnTo>
              <a:lnTo>
                <a:pt x="1369" y="3203"/>
              </a:lnTo>
              <a:lnTo>
                <a:pt x="1351" y="3202"/>
              </a:lnTo>
              <a:lnTo>
                <a:pt x="1333" y="3197"/>
              </a:lnTo>
              <a:lnTo>
                <a:pt x="1318" y="3188"/>
              </a:lnTo>
              <a:lnTo>
                <a:pt x="1306" y="3176"/>
              </a:lnTo>
              <a:lnTo>
                <a:pt x="1296" y="3161"/>
              </a:lnTo>
              <a:lnTo>
                <a:pt x="1174" y="2900"/>
              </a:lnTo>
              <a:lnTo>
                <a:pt x="915" y="3031"/>
              </a:lnTo>
              <a:lnTo>
                <a:pt x="897" y="3037"/>
              </a:lnTo>
              <a:lnTo>
                <a:pt x="879" y="3039"/>
              </a:lnTo>
              <a:lnTo>
                <a:pt x="862" y="3037"/>
              </a:lnTo>
              <a:lnTo>
                <a:pt x="846" y="3031"/>
              </a:lnTo>
              <a:lnTo>
                <a:pt x="831" y="3020"/>
              </a:lnTo>
              <a:lnTo>
                <a:pt x="820" y="3007"/>
              </a:lnTo>
              <a:lnTo>
                <a:pt x="812" y="2991"/>
              </a:lnTo>
              <a:lnTo>
                <a:pt x="808" y="2974"/>
              </a:lnTo>
              <a:lnTo>
                <a:pt x="777" y="2690"/>
              </a:lnTo>
              <a:lnTo>
                <a:pt x="494" y="2733"/>
              </a:lnTo>
              <a:lnTo>
                <a:pt x="475" y="2733"/>
              </a:lnTo>
              <a:lnTo>
                <a:pt x="458" y="2730"/>
              </a:lnTo>
              <a:lnTo>
                <a:pt x="442" y="2722"/>
              </a:lnTo>
              <a:lnTo>
                <a:pt x="428" y="2709"/>
              </a:lnTo>
              <a:lnTo>
                <a:pt x="418" y="2694"/>
              </a:lnTo>
              <a:lnTo>
                <a:pt x="411" y="2678"/>
              </a:lnTo>
              <a:lnTo>
                <a:pt x="409" y="2661"/>
              </a:lnTo>
              <a:lnTo>
                <a:pt x="411" y="2643"/>
              </a:lnTo>
              <a:lnTo>
                <a:pt x="477" y="2358"/>
              </a:lnTo>
              <a:lnTo>
                <a:pt x="184" y="2301"/>
              </a:lnTo>
              <a:lnTo>
                <a:pt x="168" y="2295"/>
              </a:lnTo>
              <a:lnTo>
                <a:pt x="152" y="2286"/>
              </a:lnTo>
              <a:lnTo>
                <a:pt x="140" y="2274"/>
              </a:lnTo>
              <a:lnTo>
                <a:pt x="131" y="2258"/>
              </a:lnTo>
              <a:lnTo>
                <a:pt x="126" y="2241"/>
              </a:lnTo>
              <a:lnTo>
                <a:pt x="125" y="2224"/>
              </a:lnTo>
              <a:lnTo>
                <a:pt x="128" y="2207"/>
              </a:lnTo>
              <a:lnTo>
                <a:pt x="136" y="2191"/>
              </a:lnTo>
              <a:lnTo>
                <a:pt x="293" y="1940"/>
              </a:lnTo>
              <a:lnTo>
                <a:pt x="38" y="1804"/>
              </a:lnTo>
              <a:lnTo>
                <a:pt x="24" y="1794"/>
              </a:lnTo>
              <a:lnTo>
                <a:pt x="12" y="1780"/>
              </a:lnTo>
              <a:lnTo>
                <a:pt x="4" y="1765"/>
              </a:lnTo>
              <a:lnTo>
                <a:pt x="0" y="1746"/>
              </a:lnTo>
              <a:lnTo>
                <a:pt x="1" y="1728"/>
              </a:lnTo>
              <a:lnTo>
                <a:pt x="6" y="1711"/>
              </a:lnTo>
              <a:lnTo>
                <a:pt x="14" y="1696"/>
              </a:lnTo>
              <a:lnTo>
                <a:pt x="27" y="1683"/>
              </a:lnTo>
              <a:lnTo>
                <a:pt x="257" y="1494"/>
              </a:lnTo>
              <a:lnTo>
                <a:pt x="65" y="1284"/>
              </a:lnTo>
              <a:lnTo>
                <a:pt x="53" y="1270"/>
              </a:lnTo>
              <a:lnTo>
                <a:pt x="47" y="1253"/>
              </a:lnTo>
              <a:lnTo>
                <a:pt x="45" y="1236"/>
              </a:lnTo>
              <a:lnTo>
                <a:pt x="47" y="1218"/>
              </a:lnTo>
              <a:lnTo>
                <a:pt x="53" y="1202"/>
              </a:lnTo>
              <a:lnTo>
                <a:pt x="64" y="1187"/>
              </a:lnTo>
              <a:lnTo>
                <a:pt x="77" y="1175"/>
              </a:lnTo>
              <a:lnTo>
                <a:pt x="93" y="1167"/>
              </a:lnTo>
              <a:lnTo>
                <a:pt x="363" y="1064"/>
              </a:lnTo>
              <a:lnTo>
                <a:pt x="254" y="804"/>
              </a:lnTo>
              <a:lnTo>
                <a:pt x="250" y="785"/>
              </a:lnTo>
              <a:lnTo>
                <a:pt x="249" y="768"/>
              </a:lnTo>
              <a:lnTo>
                <a:pt x="253" y="751"/>
              </a:lnTo>
              <a:lnTo>
                <a:pt x="260" y="735"/>
              </a:lnTo>
              <a:lnTo>
                <a:pt x="273" y="721"/>
              </a:lnTo>
              <a:lnTo>
                <a:pt x="287" y="711"/>
              </a:lnTo>
              <a:lnTo>
                <a:pt x="304" y="704"/>
              </a:lnTo>
              <a:lnTo>
                <a:pt x="321" y="701"/>
              </a:lnTo>
              <a:lnTo>
                <a:pt x="611" y="695"/>
              </a:lnTo>
              <a:lnTo>
                <a:pt x="598" y="402"/>
              </a:lnTo>
              <a:lnTo>
                <a:pt x="600" y="385"/>
              </a:lnTo>
              <a:lnTo>
                <a:pt x="605" y="368"/>
              </a:lnTo>
              <a:lnTo>
                <a:pt x="614" y="354"/>
              </a:lnTo>
              <a:lnTo>
                <a:pt x="627" y="341"/>
              </a:lnTo>
              <a:lnTo>
                <a:pt x="642" y="332"/>
              </a:lnTo>
              <a:lnTo>
                <a:pt x="659" y="327"/>
              </a:lnTo>
              <a:lnTo>
                <a:pt x="676" y="326"/>
              </a:lnTo>
              <a:lnTo>
                <a:pt x="693" y="329"/>
              </a:lnTo>
              <a:lnTo>
                <a:pt x="970" y="416"/>
              </a:lnTo>
              <a:lnTo>
                <a:pt x="1044" y="137"/>
              </a:lnTo>
              <a:lnTo>
                <a:pt x="1050" y="121"/>
              </a:lnTo>
              <a:lnTo>
                <a:pt x="1060" y="106"/>
              </a:lnTo>
              <a:lnTo>
                <a:pt x="1074" y="95"/>
              </a:lnTo>
              <a:lnTo>
                <a:pt x="1090" y="87"/>
              </a:lnTo>
              <a:lnTo>
                <a:pt x="1108" y="83"/>
              </a:lnTo>
              <a:lnTo>
                <a:pt x="1125" y="84"/>
              </a:lnTo>
              <a:lnTo>
                <a:pt x="1143" y="88"/>
              </a:lnTo>
              <a:lnTo>
                <a:pt x="1158" y="97"/>
              </a:lnTo>
              <a:lnTo>
                <a:pt x="1394" y="269"/>
              </a:lnTo>
              <a:lnTo>
                <a:pt x="1562" y="31"/>
              </a:lnTo>
              <a:lnTo>
                <a:pt x="1574" y="18"/>
              </a:lnTo>
              <a:lnTo>
                <a:pt x="1588" y="9"/>
              </a:lnTo>
              <a:lnTo>
                <a:pt x="1604" y="3"/>
              </a:lnTo>
              <a:lnTo>
                <a:pt x="1623" y="0"/>
              </a:lnTo>
              <a:close/>
            </a:path>
          </a:pathLst>
        </a:custGeom>
        <a:solidFill>
          <a:srgbClr val="FFFFFF"/>
        </a:solidFill>
        <a:ln w="0">
          <a:solidFill>
            <a:srgbClr val="FFFFFF"/>
          </a:solidFill>
          <a:prstDash val="solid"/>
          <a:round/>
          <a:headEnd/>
          <a:tailEnd/>
        </a:ln>
      </xdr:spPr>
    </xdr:sp>
    <xdr:clientData fPrintsWithSheet="0"/>
  </xdr:twoCellAnchor>
  <xdr:twoCellAnchor editAs="oneCell">
    <xdr:from>
      <xdr:col>9</xdr:col>
      <xdr:colOff>2511552</xdr:colOff>
      <xdr:row>0</xdr:row>
      <xdr:rowOff>101727</xdr:rowOff>
    </xdr:from>
    <xdr:to>
      <xdr:col>9</xdr:col>
      <xdr:colOff>2722880</xdr:colOff>
      <xdr:row>0</xdr:row>
      <xdr:rowOff>313055</xdr:rowOff>
    </xdr:to>
    <xdr:sp macro="" textlink="">
      <xdr:nvSpPr>
        <xdr:cNvPr id="35" name="Полилиния 62"/>
        <xdr:cNvSpPr>
          <a:spLocks noEditPoints="1"/>
        </xdr:cNvSpPr>
      </xdr:nvSpPr>
      <xdr:spPr bwMode="auto">
        <a:xfrm>
          <a:off x="12493752" y="101727"/>
          <a:ext cx="211328" cy="211328"/>
        </a:xfrm>
        <a:custGeom>
          <a:avLst/>
          <a:gdLst>
            <a:gd name="T0" fmla="*/ 866 w 1889"/>
            <a:gd name="T1" fmla="*/ 1272 h 1877"/>
            <a:gd name="T2" fmla="*/ 799 w 1889"/>
            <a:gd name="T3" fmla="*/ 1339 h 1877"/>
            <a:gd name="T4" fmla="*/ 772 w 1889"/>
            <a:gd name="T5" fmla="*/ 1435 h 1877"/>
            <a:gd name="T6" fmla="*/ 798 w 1889"/>
            <a:gd name="T7" fmla="*/ 1530 h 1877"/>
            <a:gd name="T8" fmla="*/ 866 w 1889"/>
            <a:gd name="T9" fmla="*/ 1597 h 1877"/>
            <a:gd name="T10" fmla="*/ 961 w 1889"/>
            <a:gd name="T11" fmla="*/ 1622 h 1877"/>
            <a:gd name="T12" fmla="*/ 1057 w 1889"/>
            <a:gd name="T13" fmla="*/ 1597 h 1877"/>
            <a:gd name="T14" fmla="*/ 1125 w 1889"/>
            <a:gd name="T15" fmla="*/ 1530 h 1877"/>
            <a:gd name="T16" fmla="*/ 1150 w 1889"/>
            <a:gd name="T17" fmla="*/ 1435 h 1877"/>
            <a:gd name="T18" fmla="*/ 1128 w 1889"/>
            <a:gd name="T19" fmla="*/ 1347 h 1877"/>
            <a:gd name="T20" fmla="*/ 1070 w 1889"/>
            <a:gd name="T21" fmla="*/ 1281 h 1877"/>
            <a:gd name="T22" fmla="*/ 1017 w 1889"/>
            <a:gd name="T23" fmla="*/ 722 h 1877"/>
            <a:gd name="T24" fmla="*/ 1281 w 1889"/>
            <a:gd name="T25" fmla="*/ 532 h 1877"/>
            <a:gd name="T26" fmla="*/ 1448 w 1889"/>
            <a:gd name="T27" fmla="*/ 366 h 1877"/>
            <a:gd name="T28" fmla="*/ 540 w 1889"/>
            <a:gd name="T29" fmla="*/ 616 h 1877"/>
            <a:gd name="T30" fmla="*/ 709 w 1889"/>
            <a:gd name="T31" fmla="*/ 214 h 1877"/>
            <a:gd name="T32" fmla="*/ 808 w 1889"/>
            <a:gd name="T33" fmla="*/ 426 h 1877"/>
            <a:gd name="T34" fmla="*/ 1102 w 1889"/>
            <a:gd name="T35" fmla="*/ 426 h 1877"/>
            <a:gd name="T36" fmla="*/ 1201 w 1889"/>
            <a:gd name="T37" fmla="*/ 214 h 1877"/>
            <a:gd name="T38" fmla="*/ 1020 w 1889"/>
            <a:gd name="T39" fmla="*/ 412 h 1877"/>
            <a:gd name="T40" fmla="*/ 945 w 1889"/>
            <a:gd name="T41" fmla="*/ 0 h 1877"/>
            <a:gd name="T42" fmla="*/ 1171 w 1889"/>
            <a:gd name="T43" fmla="*/ 27 h 1877"/>
            <a:gd name="T44" fmla="*/ 1379 w 1889"/>
            <a:gd name="T45" fmla="*/ 104 h 1877"/>
            <a:gd name="T46" fmla="*/ 1559 w 1889"/>
            <a:gd name="T47" fmla="*/ 226 h 1877"/>
            <a:gd name="T48" fmla="*/ 1707 w 1889"/>
            <a:gd name="T49" fmla="*/ 384 h 1877"/>
            <a:gd name="T50" fmla="*/ 1815 w 1889"/>
            <a:gd name="T51" fmla="*/ 573 h 1877"/>
            <a:gd name="T52" fmla="*/ 1877 w 1889"/>
            <a:gd name="T53" fmla="*/ 787 h 1877"/>
            <a:gd name="T54" fmla="*/ 1886 w 1889"/>
            <a:gd name="T55" fmla="*/ 1015 h 1877"/>
            <a:gd name="T56" fmla="*/ 1840 w 1889"/>
            <a:gd name="T57" fmla="*/ 1235 h 1877"/>
            <a:gd name="T58" fmla="*/ 1748 w 1889"/>
            <a:gd name="T59" fmla="*/ 1433 h 1877"/>
            <a:gd name="T60" fmla="*/ 1612 w 1889"/>
            <a:gd name="T61" fmla="*/ 1602 h 1877"/>
            <a:gd name="T62" fmla="*/ 1442 w 1889"/>
            <a:gd name="T63" fmla="*/ 1736 h 1877"/>
            <a:gd name="T64" fmla="*/ 1243 w 1889"/>
            <a:gd name="T65" fmla="*/ 1829 h 1877"/>
            <a:gd name="T66" fmla="*/ 1022 w 1889"/>
            <a:gd name="T67" fmla="*/ 1874 h 1877"/>
            <a:gd name="T68" fmla="*/ 792 w 1889"/>
            <a:gd name="T69" fmla="*/ 1865 h 1877"/>
            <a:gd name="T70" fmla="*/ 577 w 1889"/>
            <a:gd name="T71" fmla="*/ 1804 h 1877"/>
            <a:gd name="T72" fmla="*/ 387 w 1889"/>
            <a:gd name="T73" fmla="*/ 1696 h 1877"/>
            <a:gd name="T74" fmla="*/ 227 w 1889"/>
            <a:gd name="T75" fmla="*/ 1549 h 1877"/>
            <a:gd name="T76" fmla="*/ 106 w 1889"/>
            <a:gd name="T77" fmla="*/ 1369 h 1877"/>
            <a:gd name="T78" fmla="*/ 28 w 1889"/>
            <a:gd name="T79" fmla="*/ 1164 h 1877"/>
            <a:gd name="T80" fmla="*/ 0 w 1889"/>
            <a:gd name="T81" fmla="*/ 939 h 1877"/>
            <a:gd name="T82" fmla="*/ 28 w 1889"/>
            <a:gd name="T83" fmla="*/ 713 h 1877"/>
            <a:gd name="T84" fmla="*/ 106 w 1889"/>
            <a:gd name="T85" fmla="*/ 508 h 1877"/>
            <a:gd name="T86" fmla="*/ 227 w 1889"/>
            <a:gd name="T87" fmla="*/ 328 h 1877"/>
            <a:gd name="T88" fmla="*/ 387 w 1889"/>
            <a:gd name="T89" fmla="*/ 181 h 1877"/>
            <a:gd name="T90" fmla="*/ 577 w 1889"/>
            <a:gd name="T91" fmla="*/ 73 h 1877"/>
            <a:gd name="T92" fmla="*/ 792 w 1889"/>
            <a:gd name="T93" fmla="*/ 12 h 187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Lst>
          <a:rect l="0" t="0" r="r" b="b"/>
          <a:pathLst>
            <a:path w="1889" h="1877">
              <a:moveTo>
                <a:pt x="897" y="722"/>
              </a:moveTo>
              <a:lnTo>
                <a:pt x="897" y="1259"/>
              </a:lnTo>
              <a:lnTo>
                <a:pt x="866" y="1272"/>
              </a:lnTo>
              <a:lnTo>
                <a:pt x="840" y="1291"/>
              </a:lnTo>
              <a:lnTo>
                <a:pt x="817" y="1313"/>
              </a:lnTo>
              <a:lnTo>
                <a:pt x="799" y="1339"/>
              </a:lnTo>
              <a:lnTo>
                <a:pt x="785" y="1369"/>
              </a:lnTo>
              <a:lnTo>
                <a:pt x="775" y="1400"/>
              </a:lnTo>
              <a:lnTo>
                <a:pt x="772" y="1435"/>
              </a:lnTo>
              <a:lnTo>
                <a:pt x="775" y="1469"/>
              </a:lnTo>
              <a:lnTo>
                <a:pt x="784" y="1500"/>
              </a:lnTo>
              <a:lnTo>
                <a:pt x="798" y="1530"/>
              </a:lnTo>
              <a:lnTo>
                <a:pt x="817" y="1556"/>
              </a:lnTo>
              <a:lnTo>
                <a:pt x="839" y="1578"/>
              </a:lnTo>
              <a:lnTo>
                <a:pt x="866" y="1597"/>
              </a:lnTo>
              <a:lnTo>
                <a:pt x="896" y="1611"/>
              </a:lnTo>
              <a:lnTo>
                <a:pt x="927" y="1619"/>
              </a:lnTo>
              <a:lnTo>
                <a:pt x="961" y="1622"/>
              </a:lnTo>
              <a:lnTo>
                <a:pt x="996" y="1619"/>
              </a:lnTo>
              <a:lnTo>
                <a:pt x="1027" y="1611"/>
              </a:lnTo>
              <a:lnTo>
                <a:pt x="1057" y="1597"/>
              </a:lnTo>
              <a:lnTo>
                <a:pt x="1083" y="1578"/>
              </a:lnTo>
              <a:lnTo>
                <a:pt x="1106" y="1556"/>
              </a:lnTo>
              <a:lnTo>
                <a:pt x="1125" y="1530"/>
              </a:lnTo>
              <a:lnTo>
                <a:pt x="1138" y="1500"/>
              </a:lnTo>
              <a:lnTo>
                <a:pt x="1147" y="1469"/>
              </a:lnTo>
              <a:lnTo>
                <a:pt x="1150" y="1435"/>
              </a:lnTo>
              <a:lnTo>
                <a:pt x="1148" y="1403"/>
              </a:lnTo>
              <a:lnTo>
                <a:pt x="1140" y="1374"/>
              </a:lnTo>
              <a:lnTo>
                <a:pt x="1128" y="1347"/>
              </a:lnTo>
              <a:lnTo>
                <a:pt x="1113" y="1322"/>
              </a:lnTo>
              <a:lnTo>
                <a:pt x="1092" y="1300"/>
              </a:lnTo>
              <a:lnTo>
                <a:pt x="1070" y="1281"/>
              </a:lnTo>
              <a:lnTo>
                <a:pt x="1044" y="1266"/>
              </a:lnTo>
              <a:lnTo>
                <a:pt x="1017" y="1255"/>
              </a:lnTo>
              <a:lnTo>
                <a:pt x="1017" y="722"/>
              </a:lnTo>
              <a:lnTo>
                <a:pt x="897" y="722"/>
              </a:lnTo>
              <a:close/>
              <a:moveTo>
                <a:pt x="1448" y="366"/>
              </a:moveTo>
              <a:lnTo>
                <a:pt x="1281" y="532"/>
              </a:lnTo>
              <a:lnTo>
                <a:pt x="1366" y="616"/>
              </a:lnTo>
              <a:lnTo>
                <a:pt x="1533" y="450"/>
              </a:lnTo>
              <a:lnTo>
                <a:pt x="1448" y="366"/>
              </a:lnTo>
              <a:close/>
              <a:moveTo>
                <a:pt x="459" y="366"/>
              </a:moveTo>
              <a:lnTo>
                <a:pt x="374" y="450"/>
              </a:lnTo>
              <a:lnTo>
                <a:pt x="540" y="616"/>
              </a:lnTo>
              <a:lnTo>
                <a:pt x="625" y="532"/>
              </a:lnTo>
              <a:lnTo>
                <a:pt x="459" y="366"/>
              </a:lnTo>
              <a:close/>
              <a:moveTo>
                <a:pt x="709" y="214"/>
              </a:moveTo>
              <a:lnTo>
                <a:pt x="600" y="264"/>
              </a:lnTo>
              <a:lnTo>
                <a:pt x="699" y="477"/>
              </a:lnTo>
              <a:lnTo>
                <a:pt x="808" y="426"/>
              </a:lnTo>
              <a:lnTo>
                <a:pt x="709" y="214"/>
              </a:lnTo>
              <a:close/>
              <a:moveTo>
                <a:pt x="1201" y="214"/>
              </a:moveTo>
              <a:lnTo>
                <a:pt x="1102" y="426"/>
              </a:lnTo>
              <a:lnTo>
                <a:pt x="1211" y="477"/>
              </a:lnTo>
              <a:lnTo>
                <a:pt x="1310" y="264"/>
              </a:lnTo>
              <a:lnTo>
                <a:pt x="1201" y="214"/>
              </a:lnTo>
              <a:close/>
              <a:moveTo>
                <a:pt x="900" y="179"/>
              </a:moveTo>
              <a:lnTo>
                <a:pt x="900" y="412"/>
              </a:lnTo>
              <a:lnTo>
                <a:pt x="1020" y="412"/>
              </a:lnTo>
              <a:lnTo>
                <a:pt x="1020" y="179"/>
              </a:lnTo>
              <a:lnTo>
                <a:pt x="900" y="179"/>
              </a:lnTo>
              <a:close/>
              <a:moveTo>
                <a:pt x="945" y="0"/>
              </a:moveTo>
              <a:lnTo>
                <a:pt x="1022" y="3"/>
              </a:lnTo>
              <a:lnTo>
                <a:pt x="1097" y="12"/>
              </a:lnTo>
              <a:lnTo>
                <a:pt x="1171" y="27"/>
              </a:lnTo>
              <a:lnTo>
                <a:pt x="1243" y="48"/>
              </a:lnTo>
              <a:lnTo>
                <a:pt x="1312" y="73"/>
              </a:lnTo>
              <a:lnTo>
                <a:pt x="1379" y="104"/>
              </a:lnTo>
              <a:lnTo>
                <a:pt x="1442" y="141"/>
              </a:lnTo>
              <a:lnTo>
                <a:pt x="1502" y="181"/>
              </a:lnTo>
              <a:lnTo>
                <a:pt x="1559" y="226"/>
              </a:lnTo>
              <a:lnTo>
                <a:pt x="1612" y="275"/>
              </a:lnTo>
              <a:lnTo>
                <a:pt x="1662" y="328"/>
              </a:lnTo>
              <a:lnTo>
                <a:pt x="1707" y="384"/>
              </a:lnTo>
              <a:lnTo>
                <a:pt x="1748" y="444"/>
              </a:lnTo>
              <a:lnTo>
                <a:pt x="1784" y="508"/>
              </a:lnTo>
              <a:lnTo>
                <a:pt x="1815" y="573"/>
              </a:lnTo>
              <a:lnTo>
                <a:pt x="1840" y="642"/>
              </a:lnTo>
              <a:lnTo>
                <a:pt x="1862" y="713"/>
              </a:lnTo>
              <a:lnTo>
                <a:pt x="1877" y="787"/>
              </a:lnTo>
              <a:lnTo>
                <a:pt x="1886" y="862"/>
              </a:lnTo>
              <a:lnTo>
                <a:pt x="1889" y="939"/>
              </a:lnTo>
              <a:lnTo>
                <a:pt x="1886" y="1015"/>
              </a:lnTo>
              <a:lnTo>
                <a:pt x="1877" y="1090"/>
              </a:lnTo>
              <a:lnTo>
                <a:pt x="1862" y="1164"/>
              </a:lnTo>
              <a:lnTo>
                <a:pt x="1840" y="1235"/>
              </a:lnTo>
              <a:lnTo>
                <a:pt x="1815" y="1304"/>
              </a:lnTo>
              <a:lnTo>
                <a:pt x="1784" y="1369"/>
              </a:lnTo>
              <a:lnTo>
                <a:pt x="1748" y="1433"/>
              </a:lnTo>
              <a:lnTo>
                <a:pt x="1707" y="1493"/>
              </a:lnTo>
              <a:lnTo>
                <a:pt x="1662" y="1549"/>
              </a:lnTo>
              <a:lnTo>
                <a:pt x="1612" y="1602"/>
              </a:lnTo>
              <a:lnTo>
                <a:pt x="1559" y="1651"/>
              </a:lnTo>
              <a:lnTo>
                <a:pt x="1502" y="1696"/>
              </a:lnTo>
              <a:lnTo>
                <a:pt x="1442" y="1736"/>
              </a:lnTo>
              <a:lnTo>
                <a:pt x="1379" y="1773"/>
              </a:lnTo>
              <a:lnTo>
                <a:pt x="1312" y="1804"/>
              </a:lnTo>
              <a:lnTo>
                <a:pt x="1243" y="1829"/>
              </a:lnTo>
              <a:lnTo>
                <a:pt x="1171" y="1850"/>
              </a:lnTo>
              <a:lnTo>
                <a:pt x="1097" y="1865"/>
              </a:lnTo>
              <a:lnTo>
                <a:pt x="1022" y="1874"/>
              </a:lnTo>
              <a:lnTo>
                <a:pt x="945" y="1877"/>
              </a:lnTo>
              <a:lnTo>
                <a:pt x="867" y="1874"/>
              </a:lnTo>
              <a:lnTo>
                <a:pt x="792" y="1865"/>
              </a:lnTo>
              <a:lnTo>
                <a:pt x="718" y="1850"/>
              </a:lnTo>
              <a:lnTo>
                <a:pt x="646" y="1829"/>
              </a:lnTo>
              <a:lnTo>
                <a:pt x="577" y="1804"/>
              </a:lnTo>
              <a:lnTo>
                <a:pt x="511" y="1773"/>
              </a:lnTo>
              <a:lnTo>
                <a:pt x="447" y="1736"/>
              </a:lnTo>
              <a:lnTo>
                <a:pt x="387" y="1696"/>
              </a:lnTo>
              <a:lnTo>
                <a:pt x="330" y="1651"/>
              </a:lnTo>
              <a:lnTo>
                <a:pt x="277" y="1602"/>
              </a:lnTo>
              <a:lnTo>
                <a:pt x="227" y="1549"/>
              </a:lnTo>
              <a:lnTo>
                <a:pt x="183" y="1493"/>
              </a:lnTo>
              <a:lnTo>
                <a:pt x="142" y="1433"/>
              </a:lnTo>
              <a:lnTo>
                <a:pt x="106" y="1369"/>
              </a:lnTo>
              <a:lnTo>
                <a:pt x="75" y="1304"/>
              </a:lnTo>
              <a:lnTo>
                <a:pt x="49" y="1235"/>
              </a:lnTo>
              <a:lnTo>
                <a:pt x="28" y="1164"/>
              </a:lnTo>
              <a:lnTo>
                <a:pt x="12" y="1090"/>
              </a:lnTo>
              <a:lnTo>
                <a:pt x="3" y="1015"/>
              </a:lnTo>
              <a:lnTo>
                <a:pt x="0" y="939"/>
              </a:lnTo>
              <a:lnTo>
                <a:pt x="3" y="862"/>
              </a:lnTo>
              <a:lnTo>
                <a:pt x="12" y="787"/>
              </a:lnTo>
              <a:lnTo>
                <a:pt x="28" y="713"/>
              </a:lnTo>
              <a:lnTo>
                <a:pt x="49" y="642"/>
              </a:lnTo>
              <a:lnTo>
                <a:pt x="75" y="573"/>
              </a:lnTo>
              <a:lnTo>
                <a:pt x="106" y="508"/>
              </a:lnTo>
              <a:lnTo>
                <a:pt x="142" y="444"/>
              </a:lnTo>
              <a:lnTo>
                <a:pt x="183" y="384"/>
              </a:lnTo>
              <a:lnTo>
                <a:pt x="227" y="328"/>
              </a:lnTo>
              <a:lnTo>
                <a:pt x="277" y="275"/>
              </a:lnTo>
              <a:lnTo>
                <a:pt x="330" y="226"/>
              </a:lnTo>
              <a:lnTo>
                <a:pt x="387" y="181"/>
              </a:lnTo>
              <a:lnTo>
                <a:pt x="447" y="141"/>
              </a:lnTo>
              <a:lnTo>
                <a:pt x="511" y="104"/>
              </a:lnTo>
              <a:lnTo>
                <a:pt x="577" y="73"/>
              </a:lnTo>
              <a:lnTo>
                <a:pt x="646" y="48"/>
              </a:lnTo>
              <a:lnTo>
                <a:pt x="718" y="27"/>
              </a:lnTo>
              <a:lnTo>
                <a:pt x="792" y="12"/>
              </a:lnTo>
              <a:lnTo>
                <a:pt x="867" y="3"/>
              </a:lnTo>
              <a:lnTo>
                <a:pt x="945" y="0"/>
              </a:lnTo>
              <a:close/>
            </a:path>
          </a:pathLst>
        </a:custGeom>
        <a:solidFill>
          <a:schemeClr val="tx2"/>
        </a:solidFill>
        <a:ln w="0">
          <a:solidFill>
            <a:schemeClr val="tx2"/>
          </a:solidFill>
          <a:prstDash val="solid"/>
          <a:round/>
          <a:headEnd/>
          <a:tailEnd/>
        </a:ln>
      </xdr:spPr>
    </xdr:sp>
    <xdr:clientData fPrintsWithSheet="0"/>
  </xdr:twoCellAnchor>
  <xdr:twoCellAnchor>
    <xdr:from>
      <xdr:col>4</xdr:col>
      <xdr:colOff>276224</xdr:colOff>
      <xdr:row>1</xdr:row>
      <xdr:rowOff>38100</xdr:rowOff>
    </xdr:from>
    <xdr:to>
      <xdr:col>10</xdr:col>
      <xdr:colOff>723900</xdr:colOff>
      <xdr:row>2</xdr:row>
      <xdr:rowOff>200025</xdr:rowOff>
    </xdr:to>
    <xdr:sp macro="" textlink="">
      <xdr:nvSpPr>
        <xdr:cNvPr id="10" name="Прямоугольник 9" descr="Customize the drop down lists on the Budget sheet to fit your needs by modifying the information you see here. Note that you may need to scroll down to view all of the tables." title="Drop down customization tip"/>
        <xdr:cNvSpPr/>
      </xdr:nvSpPr>
      <xdr:spPr>
        <a:xfrm>
          <a:off x="4248149" y="476250"/>
          <a:ext cx="5219701" cy="438150"/>
        </a:xfrm>
        <a:prstGeom prst="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az-Cyrl-AZ" sz="900">
              <a:solidFill>
                <a:schemeClr val="tx2"/>
              </a:solidFill>
            </a:rPr>
            <a:t>Настройте раскрывающиеся списки на листе «Бюджет» под свои нужды, изменив представленную здесь информацию. Обратите внимание: чтобы просмотреть все таблицы, возможно, придется прокутить страницу вниз.</a:t>
          </a:r>
          <a:endParaRPr lang="en-US" sz="900">
            <a:solidFill>
              <a:schemeClr val="tx2"/>
            </a:solidFill>
          </a:endParaRPr>
        </a:p>
      </xdr:txBody>
    </xdr:sp>
    <xdr:clientData/>
  </xdr:twoCellAnchor>
</xdr:wsDr>
</file>

<file path=xl/tables/table1.xml><?xml version="1.0" encoding="utf-8"?>
<table xmlns="http://schemas.openxmlformats.org/spreadsheetml/2006/main" id="1" name="tblДоход" displayName="tblДоход" ref="B13:P18" headerRowCount="0" totalsRowCount="1">
  <tableColumns count="15">
    <tableColumn id="1" name="Income" totalsRowLabel="ОБЩИЕ ДОХОДЫ" headerRowDxfId="574" totalsRowDxfId="573"/>
    <tableColumn id="2" name="jan" totalsRowFunction="custom" headerRowDxfId="572" totalsRowDxfId="571">
      <totalsRowFormula>SUM(tblДоход[jan])</totalsRowFormula>
    </tableColumn>
    <tableColumn id="3" name="feb" totalsRowFunction="custom" headerRowDxfId="570" totalsRowDxfId="569">
      <totalsRowFormula>SUM(tblДоход[feb])</totalsRowFormula>
    </tableColumn>
    <tableColumn id="4" name="mar" totalsRowFunction="custom" headerRowDxfId="568" totalsRowDxfId="567">
      <totalsRowFormula>SUM(tblДоход[mar])</totalsRowFormula>
    </tableColumn>
    <tableColumn id="5" name="apr" totalsRowFunction="custom" headerRowDxfId="566" totalsRowDxfId="565">
      <totalsRowFormula>SUM(tblДоход[apr])</totalsRowFormula>
    </tableColumn>
    <tableColumn id="6" name="may" totalsRowFunction="custom" headerRowDxfId="564" totalsRowDxfId="563">
      <totalsRowFormula>SUM(tblДоход[may])</totalsRowFormula>
    </tableColumn>
    <tableColumn id="7" name="jun" totalsRowFunction="custom" headerRowDxfId="562" totalsRowDxfId="561">
      <totalsRowFormula>SUM(tblДоход[jun])</totalsRowFormula>
    </tableColumn>
    <tableColumn id="8" name="jul" totalsRowFunction="custom" headerRowDxfId="560" totalsRowDxfId="559">
      <totalsRowFormula>SUM(tblДоход[jul])</totalsRowFormula>
    </tableColumn>
    <tableColumn id="9" name="aug" totalsRowFunction="custom" headerRowDxfId="558" totalsRowDxfId="557">
      <totalsRowFormula>SUM(tblДоход[aug])</totalsRowFormula>
    </tableColumn>
    <tableColumn id="10" name="sep" totalsRowFunction="custom" headerRowDxfId="556" totalsRowDxfId="555">
      <totalsRowFormula>SUM(tblДоход[sep])</totalsRowFormula>
    </tableColumn>
    <tableColumn id="11" name="oct" totalsRowFunction="custom" headerRowDxfId="554" totalsRowDxfId="553">
      <totalsRowFormula>SUM(tblДоход[oct])</totalsRowFormula>
    </tableColumn>
    <tableColumn id="12" name="nov" totalsRowFunction="custom" headerRowDxfId="552" totalsRowDxfId="551">
      <totalsRowFormula>SUM(tblДоход[nov])</totalsRowFormula>
    </tableColumn>
    <tableColumn id="13" name="dec" totalsRowFunction="custom" headerRowDxfId="550" totalsRowDxfId="549">
      <totalsRowFormula>SUM(tblДоход[dec])</totalsRowFormula>
    </tableColumn>
    <tableColumn id="14" name="year" totalsRowFunction="custom" headerRowDxfId="548" dataDxfId="547" totalsRowDxfId="546">
      <calculatedColumnFormula>SUM(tblДоход[[#This Row],[jan]:[dec]])</calculatedColumnFormula>
      <totalsRowFormula>SUM(tblДоход[year])</totalsRowFormula>
    </tableColumn>
    <tableColumn id="15" name="avg" totalsRowFunction="custom" headerRowDxfId="545" dataDxfId="544" totalsRowDxfId="543">
      <calculatedColumnFormula>tblДоход[[#This Row],[year]]/12</calculatedColumnFormula>
      <totalsRowFormula>tblДоход[[#Totals],[year]]/12</totalsRowFormula>
    </tableColumn>
  </tableColumns>
  <tableStyleInfo name="Budget Tables" showFirstColumn="1" showLastColumn="0" showRowStripes="1" showColumnStripes="0"/>
  <extLst>
    <ext xmlns:x14="http://schemas.microsoft.com/office/spreadsheetml/2009/9/main" uri="{504A1905-F514-4f6f-8877-14C23A59335A}">
      <x14:table altText="Income" altTextSummary="List of monthly доход sources and amounts"/>
    </ext>
  </extLst>
</table>
</file>

<file path=xl/tables/table2.xml><?xml version="1.0" encoding="utf-8"?>
<table xmlns="http://schemas.openxmlformats.org/spreadsheetml/2006/main" id="2" name="tblСтатьяРасходов_01" displayName="tblСтатьяРасходов_01" ref="B22:P27" headerRowCount="0" totalsRowCount="1">
  <tableColumns count="15">
    <tableColumn id="1" name="Home" totalsRowFunction="custom" headerRowDxfId="542" totalsRowDxfId="541">
      <totalsRowFormula>UPPER("ВСЕГО: " &amp; B21)</totalsRowFormula>
    </tableColumn>
    <tableColumn id="2" name="jan" totalsRowFunction="custom" headerRowDxfId="540" totalsRowDxfId="539">
      <totalsRowFormula>SUM(tblСтатьяРасходов_01[jan])</totalsRowFormula>
    </tableColumn>
    <tableColumn id="3" name="feb" totalsRowFunction="custom" headerRowDxfId="538" totalsRowDxfId="537">
      <totalsRowFormula>SUM(tblСтатьяРасходов_01[feb])</totalsRowFormula>
    </tableColumn>
    <tableColumn id="4" name="mar" totalsRowFunction="custom" headerRowDxfId="536" totalsRowDxfId="535">
      <totalsRowFormula>SUM(tblСтатьяРасходов_01[mar])</totalsRowFormula>
    </tableColumn>
    <tableColumn id="5" name="apr" totalsRowFunction="custom" headerRowDxfId="534" totalsRowDxfId="533">
      <totalsRowFormula>SUM(tblСтатьяРасходов_01[apr])</totalsRowFormula>
    </tableColumn>
    <tableColumn id="6" name="may" totalsRowFunction="custom" headerRowDxfId="532" totalsRowDxfId="531">
      <totalsRowFormula>SUM(tblСтатьяРасходов_01[may])</totalsRowFormula>
    </tableColumn>
    <tableColumn id="7" name="jun" totalsRowFunction="custom" headerRowDxfId="530" totalsRowDxfId="529">
      <totalsRowFormula>SUM(tblСтатьяРасходов_01[jun])</totalsRowFormula>
    </tableColumn>
    <tableColumn id="8" name="jul" totalsRowFunction="custom" headerRowDxfId="528" totalsRowDxfId="527">
      <totalsRowFormula>SUM(tblСтатьяРасходов_01[jul])</totalsRowFormula>
    </tableColumn>
    <tableColumn id="9" name="aug" totalsRowFunction="custom" headerRowDxfId="526" totalsRowDxfId="525">
      <totalsRowFormula>SUM(tblСтатьяРасходов_01[aug])</totalsRowFormula>
    </tableColumn>
    <tableColumn id="10" name="sep" totalsRowFunction="custom" headerRowDxfId="524" totalsRowDxfId="523">
      <totalsRowFormula>SUM(tblСтатьяРасходов_01[sep])</totalsRowFormula>
    </tableColumn>
    <tableColumn id="11" name="oct" totalsRowFunction="custom" headerRowDxfId="522" totalsRowDxfId="521">
      <totalsRowFormula>SUM(tblСтатьяРасходов_01[oct])</totalsRowFormula>
    </tableColumn>
    <tableColumn id="12" name="nov" totalsRowFunction="custom" headerRowDxfId="520" totalsRowDxfId="519">
      <totalsRowFormula>SUM(tblСтатьяРасходов_01[nov])</totalsRowFormula>
    </tableColumn>
    <tableColumn id="13" name="dec" totalsRowFunction="custom" headerRowDxfId="518" totalsRowDxfId="517">
      <totalsRowFormula>SUM(tblСтатьяРасходов_01[dec])</totalsRowFormula>
    </tableColumn>
    <tableColumn id="14" name="year" totalsRowFunction="custom" headerRowDxfId="516" dataDxfId="515" totalsRowDxfId="514">
      <calculatedColumnFormula>SUM(tblСтатьяРасходов_01[[#This Row],[jan]:[dec]])</calculatedColumnFormula>
      <totalsRowFormula>SUM(tblСтатьяРасходов_01[year])</totalsRowFormula>
    </tableColumn>
    <tableColumn id="15" name="avg" totalsRowFunction="custom" headerRowDxfId="513" dataDxfId="512" totalsRowDxfId="511">
      <calculatedColumnFormula>tblСтатьяРасходов_01[[#This Row],[year]]/12</calculatedColumnFormula>
      <totalsRowFormula>tblСтатьяРасходов_01[[#Totals],[year]]/12</totalsRowFormula>
    </tableColumn>
  </tableColumns>
  <tableStyleInfo name="Budget Tables" showFirstColumn="1" showLastColumn="0" showRowStripes="1" showColumnStripes="0"/>
  <extLst>
    <ext xmlns:x14="http://schemas.microsoft.com/office/spreadsheetml/2009/9/main" uri="{504A1905-F514-4f6f-8877-14C23A59335A}">
      <x14:table altText="Home expenses" altTextSummary="List of home expenses by month such as, Mortgage/Rent, Electricity, Phone, etc."/>
    </ext>
  </extLst>
</table>
</file>

<file path=xl/tables/table3.xml><?xml version="1.0" encoding="utf-8"?>
<table xmlns="http://schemas.openxmlformats.org/spreadsheetml/2006/main" id="3" name="tblСтатьяРасходов_02" displayName="tblСтатьяРасходов_02" ref="B31:P36" headerRowCount="0" totalsRowCount="1">
  <tableColumns count="15">
    <tableColumn id="1" name="Daily Living" totalsRowFunction="custom" headerRowDxfId="510" totalsRowDxfId="509">
      <totalsRowFormula>UPPER("ВСЕГО: " &amp; B30)</totalsRowFormula>
    </tableColumn>
    <tableColumn id="2" name="jan" totalsRowFunction="custom" headerRowDxfId="508" totalsRowDxfId="507">
      <totalsRowFormula>SUM(tblСтатьяРасходов_02[jan])</totalsRowFormula>
    </tableColumn>
    <tableColumn id="3" name="feb" totalsRowFunction="custom" headerRowDxfId="506" totalsRowDxfId="505">
      <totalsRowFormula>SUM(tblСтатьяРасходов_02[feb])</totalsRowFormula>
    </tableColumn>
    <tableColumn id="4" name="mar" totalsRowFunction="custom" headerRowDxfId="504" totalsRowDxfId="503">
      <totalsRowFormula>SUM(tblСтатьяРасходов_02[mar])</totalsRowFormula>
    </tableColumn>
    <tableColumn id="5" name="apr" totalsRowFunction="custom" headerRowDxfId="502" totalsRowDxfId="501">
      <totalsRowFormula>SUM(tblСтатьяРасходов_02[apr])</totalsRowFormula>
    </tableColumn>
    <tableColumn id="6" name="may" totalsRowFunction="custom" headerRowDxfId="500" totalsRowDxfId="499">
      <totalsRowFormula>SUM(tblСтатьяРасходов_02[may])</totalsRowFormula>
    </tableColumn>
    <tableColumn id="7" name="jun" totalsRowFunction="custom" headerRowDxfId="498" totalsRowDxfId="497">
      <totalsRowFormula>SUM(tblСтатьяРасходов_02[jun])</totalsRowFormula>
    </tableColumn>
    <tableColumn id="8" name="jul" totalsRowFunction="custom" headerRowDxfId="496" totalsRowDxfId="495">
      <totalsRowFormula>SUM(tblСтатьяРасходов_02[jul])</totalsRowFormula>
    </tableColumn>
    <tableColumn id="9" name="aug" totalsRowFunction="custom" headerRowDxfId="494" totalsRowDxfId="493">
      <totalsRowFormula>SUM(tblСтатьяРасходов_02[aug])</totalsRowFormula>
    </tableColumn>
    <tableColumn id="10" name="sep" totalsRowFunction="custom" headerRowDxfId="492" totalsRowDxfId="491">
      <totalsRowFormula>SUM(tblСтатьяРасходов_02[sep])</totalsRowFormula>
    </tableColumn>
    <tableColumn id="11" name="oct" totalsRowFunction="custom" headerRowDxfId="490" totalsRowDxfId="489">
      <totalsRowFormula>SUM(tblСтатьяРасходов_02[oct])</totalsRowFormula>
    </tableColumn>
    <tableColumn id="12" name="nov" totalsRowFunction="custom" headerRowDxfId="488" totalsRowDxfId="487">
      <totalsRowFormula>SUM(tblСтатьяРасходов_02[nov])</totalsRowFormula>
    </tableColumn>
    <tableColumn id="13" name="dec" totalsRowFunction="custom" headerRowDxfId="486" totalsRowDxfId="485">
      <totalsRowFormula>SUM(tblСтатьяРасходов_02[dec])</totalsRowFormula>
    </tableColumn>
    <tableColumn id="14" name="year" totalsRowFunction="custom" headerRowDxfId="484" dataDxfId="483" totalsRowDxfId="482">
      <calculatedColumnFormula>SUM(tblСтатьяРасходов_02[[#This Row],[jan]:[dec]])</calculatedColumnFormula>
      <totalsRowFormula>SUM(tblСтатьяРасходов_02[year])</totalsRowFormula>
    </tableColumn>
    <tableColumn id="15" name="avg" totalsRowFunction="custom" headerRowDxfId="481" dataDxfId="480" totalsRowDxfId="479">
      <calculatedColumnFormula>tblСтатьяРасходов_02[[#This Row],[year]]/12</calculatedColumnFormula>
      <totalsRowFormula>tblСтатьяРасходов_02[[#Totals],[year]]/12</totalsRowFormula>
    </tableColumn>
  </tableColumns>
  <tableStyleInfo name="Budget Tables" showFirstColumn="1" showLastColumn="0" showRowStripes="1" showColumnStripes="0"/>
  <extLst>
    <ext xmlns:x14="http://schemas.microsoft.com/office/spreadsheetml/2009/9/main" uri="{504A1905-F514-4f6f-8877-14C23A59335A}">
      <x14:table altText="Daily Living expenses" altTextSummary="List of daily living expenses by month such as, Groceries, Clothing, etc. "/>
    </ext>
  </extLst>
</table>
</file>

<file path=xl/tables/table4.xml><?xml version="1.0" encoding="utf-8"?>
<table xmlns="http://schemas.openxmlformats.org/spreadsheetml/2006/main" id="4" name="tblСтатьяРасходов_03" displayName="tblСтатьяРасходов_03" ref="B40:P45" headerRowCount="0" totalsRowCount="1">
  <tableColumns count="15">
    <tableColumn id="1" name="Children" totalsRowFunction="custom" headerRowDxfId="478" totalsRowDxfId="477">
      <totalsRowFormula>UPPER("ВСЕГО: " &amp; B39)</totalsRowFormula>
    </tableColumn>
    <tableColumn id="2" name="jan" totalsRowFunction="custom" headerRowDxfId="476" totalsRowDxfId="475">
      <totalsRowFormula>SUM(tblСтатьяРасходов_03[jan])</totalsRowFormula>
    </tableColumn>
    <tableColumn id="3" name="feb" totalsRowFunction="custom" headerRowDxfId="474" totalsRowDxfId="473">
      <totalsRowFormula>SUM(tblСтатьяРасходов_03[feb])</totalsRowFormula>
    </tableColumn>
    <tableColumn id="4" name="mar" totalsRowFunction="custom" headerRowDxfId="472" totalsRowDxfId="471">
      <totalsRowFormula>SUM(tblСтатьяРасходов_03[mar])</totalsRowFormula>
    </tableColumn>
    <tableColumn id="5" name="apr" totalsRowFunction="custom" headerRowDxfId="470" totalsRowDxfId="469">
      <totalsRowFormula>SUM(tblСтатьяРасходов_03[apr])</totalsRowFormula>
    </tableColumn>
    <tableColumn id="6" name="may" totalsRowFunction="custom" headerRowDxfId="468" totalsRowDxfId="467">
      <totalsRowFormula>SUM(tblСтатьяРасходов_03[may])</totalsRowFormula>
    </tableColumn>
    <tableColumn id="7" name="jun" totalsRowFunction="custom" headerRowDxfId="466" totalsRowDxfId="465">
      <totalsRowFormula>SUM(tblСтатьяРасходов_03[jun])</totalsRowFormula>
    </tableColumn>
    <tableColumn id="8" name="jul" totalsRowFunction="custom" headerRowDxfId="464" totalsRowDxfId="463">
      <totalsRowFormula>SUM(tblСтатьяРасходов_03[jul])</totalsRowFormula>
    </tableColumn>
    <tableColumn id="9" name="aug" totalsRowFunction="custom" headerRowDxfId="462" totalsRowDxfId="461">
      <totalsRowFormula>SUM(tblСтатьяРасходов_03[aug])</totalsRowFormula>
    </tableColumn>
    <tableColumn id="10" name="sep" totalsRowFunction="custom" headerRowDxfId="460" totalsRowDxfId="459">
      <totalsRowFormula>SUM(tblСтатьяРасходов_03[sep])</totalsRowFormula>
    </tableColumn>
    <tableColumn id="11" name="oct" totalsRowFunction="custom" headerRowDxfId="458" totalsRowDxfId="457">
      <totalsRowFormula>SUM(tblСтатьяРасходов_03[oct])</totalsRowFormula>
    </tableColumn>
    <tableColumn id="12" name="nov" totalsRowFunction="custom" headerRowDxfId="456" totalsRowDxfId="455">
      <totalsRowFormula>SUM(tblСтатьяРасходов_03[nov])</totalsRowFormula>
    </tableColumn>
    <tableColumn id="13" name="dec" totalsRowFunction="custom" headerRowDxfId="454" totalsRowDxfId="453">
      <totalsRowFormula>SUM(tblСтатьяРасходов_03[dec])</totalsRowFormula>
    </tableColumn>
    <tableColumn id="14" name="year" totalsRowFunction="custom" headerRowDxfId="452" dataDxfId="451" totalsRowDxfId="450">
      <calculatedColumnFormula>SUM(tblСтатьяРасходов_03[[#This Row],[jan]:[dec]])</calculatedColumnFormula>
      <totalsRowFormula>SUM(tblСтатьяРасходов_03[year])</totalsRowFormula>
    </tableColumn>
    <tableColumn id="15" name="avg" totalsRowFunction="custom" headerRowDxfId="449" dataDxfId="448" totalsRowDxfId="447">
      <calculatedColumnFormula>tblСтатьяРасходов_03[[#This Row],[year]]/12</calculatedColumnFormula>
      <totalsRowFormula>tblСтатьяРасходов_03[[#Totals],[year]]/12</totalsRowFormula>
    </tableColumn>
  </tableColumns>
  <tableStyleInfo name="Budget Tables" showFirstColumn="1" showLastColumn="0" showRowStripes="1" showColumnStripes="0"/>
  <extLst>
    <ext xmlns:x14="http://schemas.microsoft.com/office/spreadsheetml/2009/9/main" uri="{504A1905-F514-4f6f-8877-14C23A59335A}">
      <x14:table altText="Children expenses" altTextSummary="List of your children's expenses by month such as School Supplies, Clothing, School Lunch, etc."/>
    </ext>
  </extLst>
</table>
</file>

<file path=xl/tables/table5.xml><?xml version="1.0" encoding="utf-8"?>
<table xmlns="http://schemas.openxmlformats.org/spreadsheetml/2006/main" id="5" name="tblСтатьяРасходов_04" displayName="tblСтатьяРасходов_04" ref="B49:P54" headerRowCount="0" totalsRowCount="1">
  <tableColumns count="15">
    <tableColumn id="1" name="Transportation" totalsRowFunction="custom" headerRowDxfId="446" totalsRowDxfId="445">
      <totalsRowFormula>UPPER("ВСЕГО: " &amp; B48)</totalsRowFormula>
    </tableColumn>
    <tableColumn id="2" name="jan" totalsRowFunction="custom" headerRowDxfId="444" totalsRowDxfId="443">
      <totalsRowFormula>SUM(tblСтатьяРасходов_04[jan])</totalsRowFormula>
    </tableColumn>
    <tableColumn id="3" name="feb" totalsRowFunction="custom" headerRowDxfId="442" totalsRowDxfId="441">
      <totalsRowFormula>SUM(tblСтатьяРасходов_04[feb])</totalsRowFormula>
    </tableColumn>
    <tableColumn id="4" name="mar" totalsRowFunction="custom" headerRowDxfId="440" totalsRowDxfId="439">
      <totalsRowFormula>SUM(tblСтатьяРасходов_04[mar])</totalsRowFormula>
    </tableColumn>
    <tableColumn id="5" name="apr" totalsRowFunction="custom" headerRowDxfId="438" totalsRowDxfId="437">
      <totalsRowFormula>SUM(tblСтатьяРасходов_04[apr])</totalsRowFormula>
    </tableColumn>
    <tableColumn id="6" name="may" totalsRowFunction="custom" headerRowDxfId="436" totalsRowDxfId="435">
      <totalsRowFormula>SUM(tblСтатьяРасходов_04[may])</totalsRowFormula>
    </tableColumn>
    <tableColumn id="7" name="jun" totalsRowFunction="custom" headerRowDxfId="434" totalsRowDxfId="433">
      <totalsRowFormula>SUM(tblСтатьяРасходов_04[jun])</totalsRowFormula>
    </tableColumn>
    <tableColumn id="8" name="jul" totalsRowFunction="custom" headerRowDxfId="432" totalsRowDxfId="431">
      <totalsRowFormula>SUM(tblСтатьяРасходов_04[jul])</totalsRowFormula>
    </tableColumn>
    <tableColumn id="9" name="aug" totalsRowFunction="custom" headerRowDxfId="430" totalsRowDxfId="429">
      <totalsRowFormula>SUM(tblСтатьяРасходов_04[aug])</totalsRowFormula>
    </tableColumn>
    <tableColumn id="10" name="sep" totalsRowFunction="custom" headerRowDxfId="428" totalsRowDxfId="427">
      <totalsRowFormula>SUM(tblСтатьяРасходов_04[sep])</totalsRowFormula>
    </tableColumn>
    <tableColumn id="11" name="oct" totalsRowFunction="custom" headerRowDxfId="426" totalsRowDxfId="425">
      <totalsRowFormula>SUM(tblСтатьяРасходов_04[oct])</totalsRowFormula>
    </tableColumn>
    <tableColumn id="12" name="nov" totalsRowFunction="custom" headerRowDxfId="424" totalsRowDxfId="423">
      <totalsRowFormula>SUM(tblСтатьяРасходов_04[nov])</totalsRowFormula>
    </tableColumn>
    <tableColumn id="13" name="dec" totalsRowFunction="custom" headerRowDxfId="422" totalsRowDxfId="421">
      <totalsRowFormula>SUM(tblСтатьяРасходов_04[dec])</totalsRowFormula>
    </tableColumn>
    <tableColumn id="14" name="year" totalsRowFunction="custom" headerRowDxfId="420" dataDxfId="419" totalsRowDxfId="418">
      <calculatedColumnFormula>SUM(tblСтатьяРасходов_04[[#This Row],[jan]:[dec]])</calculatedColumnFormula>
      <totalsRowFormula>SUM(tblСтатьяРасходов_04[year])</totalsRowFormula>
    </tableColumn>
    <tableColumn id="15" name="avg" totalsRowFunction="custom" headerRowDxfId="417" dataDxfId="416" totalsRowDxfId="415">
      <calculatedColumnFormula>tblСтатьяРасходов_04[[#This Row],[year]]/12</calculatedColumnFormula>
      <totalsRowFormula>tblСтатьяРасходов_04[[#Totals],[year]]/12</totalsRowFormula>
    </tableColumn>
  </tableColumns>
  <tableStyleInfo name="Budget Tables" showFirstColumn="1" showLastColumn="0" showRowStripes="1" showColumnStripes="0"/>
  <extLst>
    <ext xmlns:x14="http://schemas.microsoft.com/office/spreadsheetml/2009/9/main" uri="{504A1905-F514-4f6f-8877-14C23A59335A}">
      <x14:table altText="Transportation expenses" altTextSummary="List of transportation expenses by month such as Vehicle Payments, Fuel, Repairs, etc."/>
    </ext>
  </extLst>
</table>
</file>

<file path=xl/tables/table6.xml><?xml version="1.0" encoding="utf-8"?>
<table xmlns="http://schemas.openxmlformats.org/spreadsheetml/2006/main" id="6" name="tblСтатьяРасходов_05" displayName="tblСтатьяРасходов_05" ref="B58:P61" headerRowCount="0" totalsRowCount="1">
  <tableColumns count="15">
    <tableColumn id="1" name="Health" totalsRowFunction="custom" headerRowDxfId="414" totalsRowDxfId="413">
      <totalsRowFormula>UPPER("ВСЕГО: " &amp; B57)</totalsRowFormula>
    </tableColumn>
    <tableColumn id="2" name="jan" totalsRowFunction="custom" headerRowDxfId="412" totalsRowDxfId="411">
      <totalsRowFormula>SUM(tblСтатьяРасходов_05[jan])</totalsRowFormula>
    </tableColumn>
    <tableColumn id="3" name="feb" totalsRowFunction="custom" headerRowDxfId="410" totalsRowDxfId="409">
      <totalsRowFormula>SUM(tblСтатьяРасходов_05[feb])</totalsRowFormula>
    </tableColumn>
    <tableColumn id="4" name="mar" totalsRowFunction="custom" headerRowDxfId="408" totalsRowDxfId="407">
      <totalsRowFormula>SUM(tblСтатьяРасходов_05[mar])</totalsRowFormula>
    </tableColumn>
    <tableColumn id="5" name="apr" totalsRowFunction="custom" headerRowDxfId="406" totalsRowDxfId="405">
      <totalsRowFormula>SUM(tblСтатьяРасходов_05[apr])</totalsRowFormula>
    </tableColumn>
    <tableColumn id="6" name="may" totalsRowFunction="custom" headerRowDxfId="404" totalsRowDxfId="403">
      <totalsRowFormula>SUM(tblСтатьяРасходов_05[may])</totalsRowFormula>
    </tableColumn>
    <tableColumn id="7" name="jun" totalsRowFunction="custom" headerRowDxfId="402" totalsRowDxfId="401">
      <totalsRowFormula>SUM(tblСтатьяРасходов_05[jun])</totalsRowFormula>
    </tableColumn>
    <tableColumn id="8" name="jul" totalsRowFunction="custom" headerRowDxfId="400" totalsRowDxfId="399">
      <totalsRowFormula>SUM(tblСтатьяРасходов_05[jul])</totalsRowFormula>
    </tableColumn>
    <tableColumn id="9" name="aug" totalsRowFunction="custom" headerRowDxfId="398" totalsRowDxfId="397">
      <totalsRowFormula>SUM(tblСтатьяРасходов_05[aug])</totalsRowFormula>
    </tableColumn>
    <tableColumn id="10" name="sep" totalsRowFunction="custom" headerRowDxfId="396" totalsRowDxfId="395">
      <totalsRowFormula>SUM(tblСтатьяРасходов_05[sep])</totalsRowFormula>
    </tableColumn>
    <tableColumn id="11" name="oct" totalsRowFunction="custom" headerRowDxfId="394" totalsRowDxfId="393">
      <totalsRowFormula>SUM(tblСтатьяРасходов_05[oct])</totalsRowFormula>
    </tableColumn>
    <tableColumn id="12" name="nov" totalsRowFunction="custom" headerRowDxfId="392" totalsRowDxfId="391">
      <totalsRowFormula>SUM(tblСтатьяРасходов_05[nov])</totalsRowFormula>
    </tableColumn>
    <tableColumn id="13" name="dec" totalsRowFunction="custom" headerRowDxfId="390" totalsRowDxfId="389">
      <totalsRowFormula>SUM(tblСтатьяРасходов_05[dec])</totalsRowFormula>
    </tableColumn>
    <tableColumn id="14" name="year" totalsRowFunction="custom" headerRowDxfId="388" dataDxfId="387" totalsRowDxfId="386">
      <calculatedColumnFormula>SUM(tblСтатьяРасходов_05[[#This Row],[jan]:[dec]])</calculatedColumnFormula>
      <totalsRowFormula>SUM(tblСтатьяРасходов_05[year])</totalsRowFormula>
    </tableColumn>
    <tableColumn id="15" name="avg" totalsRowFunction="custom" headerRowDxfId="385" dataDxfId="384" totalsRowDxfId="383">
      <calculatedColumnFormula>tblСтатьяРасходов_05[[#This Row],[year]]/12</calculatedColumnFormula>
      <totalsRowFormula>tblСтатьяРасходов_05[[#Totals],[year]]/12</totalsRowFormula>
    </tableColumn>
  </tableColumns>
  <tableStyleInfo name="Budget Tables" showFirstColumn="1" showLastColumn="0" showRowStripes="1" showColumnStripes="0"/>
  <extLst>
    <ext xmlns:x14="http://schemas.microsoft.com/office/spreadsheetml/2009/9/main" uri="{504A1905-F514-4f6f-8877-14C23A59335A}">
      <x14:table altTextSummary="List of health expenses by month such as Doctor/Dentist, Medicine/Drugs, etc."/>
    </ext>
  </extLst>
</table>
</file>

<file path=xl/tables/table7.xml><?xml version="1.0" encoding="utf-8"?>
<table xmlns="http://schemas.openxmlformats.org/spreadsheetml/2006/main" id="7" name="tblСтатьяРасходов_06" displayName="tblСтатьяРасходов_06" ref="B65:P68" headerRowCount="0" totalsRowCount="1">
  <tableColumns count="15">
    <tableColumn id="1" name="Insurance" totalsRowFunction="custom" headerRowDxfId="382" totalsRowDxfId="381">
      <totalsRowFormula>UPPER("ВСЕГО: " &amp; B64)</totalsRowFormula>
    </tableColumn>
    <tableColumn id="2" name="jan" totalsRowFunction="custom" headerRowDxfId="380" totalsRowDxfId="379">
      <totalsRowFormula>SUM(tblСтатьяРасходов_06[jan])</totalsRowFormula>
    </tableColumn>
    <tableColumn id="3" name="feb" totalsRowFunction="custom" headerRowDxfId="378" totalsRowDxfId="377">
      <totalsRowFormula>SUM(tblСтатьяРасходов_06[feb])</totalsRowFormula>
    </tableColumn>
    <tableColumn id="4" name="mar" totalsRowFunction="custom" headerRowDxfId="376" totalsRowDxfId="375">
      <totalsRowFormula>SUM(tblСтатьяРасходов_06[mar])</totalsRowFormula>
    </tableColumn>
    <tableColumn id="5" name="apr" totalsRowFunction="custom" headerRowDxfId="374" totalsRowDxfId="373">
      <totalsRowFormula>SUM(tblСтатьяРасходов_06[apr])</totalsRowFormula>
    </tableColumn>
    <tableColumn id="6" name="may" totalsRowFunction="custom" headerRowDxfId="372" totalsRowDxfId="371">
      <totalsRowFormula>SUM(tblСтатьяРасходов_06[may])</totalsRowFormula>
    </tableColumn>
    <tableColumn id="7" name="jun" totalsRowFunction="custom" headerRowDxfId="370" totalsRowDxfId="369">
      <totalsRowFormula>SUM(tblСтатьяРасходов_06[jun])</totalsRowFormula>
    </tableColumn>
    <tableColumn id="8" name="jul" totalsRowFunction="custom" headerRowDxfId="368" totalsRowDxfId="367">
      <totalsRowFormula>SUM(tblСтатьяРасходов_06[jul])</totalsRowFormula>
    </tableColumn>
    <tableColumn id="9" name="aug" totalsRowFunction="custom" headerRowDxfId="366" totalsRowDxfId="365">
      <totalsRowFormula>SUM(tblСтатьяРасходов_06[aug])</totalsRowFormula>
    </tableColumn>
    <tableColumn id="10" name="sep" totalsRowFunction="custom" headerRowDxfId="364" totalsRowDxfId="363">
      <totalsRowFormula>SUM(tblСтатьяРасходов_06[sep])</totalsRowFormula>
    </tableColumn>
    <tableColumn id="11" name="oct" totalsRowFunction="custom" headerRowDxfId="362" totalsRowDxfId="361">
      <totalsRowFormula>SUM(tblСтатьяРасходов_06[oct])</totalsRowFormula>
    </tableColumn>
    <tableColumn id="12" name="nov" totalsRowFunction="custom" headerRowDxfId="360" totalsRowDxfId="359">
      <totalsRowFormula>SUM(tblСтатьяРасходов_06[nov])</totalsRowFormula>
    </tableColumn>
    <tableColumn id="13" name="dec" totalsRowFunction="custom" headerRowDxfId="358" totalsRowDxfId="357">
      <totalsRowFormula>SUM(tblСтатьяРасходов_06[dec])</totalsRowFormula>
    </tableColumn>
    <tableColumn id="14" name="year" totalsRowFunction="custom" headerRowDxfId="356" dataDxfId="355" totalsRowDxfId="354">
      <calculatedColumnFormula>SUM(tblСтатьяРасходов_06[[#This Row],[jan]:[dec]])</calculatedColumnFormula>
      <totalsRowFormula>SUM(tblСтатьяРасходов_06[year])</totalsRowFormula>
    </tableColumn>
    <tableColumn id="15" name="avg" totalsRowFunction="custom" headerRowDxfId="353" dataDxfId="352" totalsRowDxfId="351">
      <calculatedColumnFormula>tblСтатьяРасходов_06[[#This Row],[year]]/12</calculatedColumnFormula>
      <totalsRowFormula>tblСтатьяРасходов_06[[#Totals],[year]]/12</totalsRowFormula>
    </tableColumn>
  </tableColumns>
  <tableStyleInfo name="Budget Tables" showFirstColumn="1" showLastColumn="0" showRowStripes="1" showColumnStripes="0"/>
  <extLst>
    <ext xmlns:x14="http://schemas.microsoft.com/office/spreadsheetml/2009/9/main" uri="{504A1905-F514-4f6f-8877-14C23A59335A}">
      <x14:table altText="Insurance expenses" altTextSummary="List of insurance expenses by month such as Auto, Health, Life, etc."/>
    </ext>
  </extLst>
</table>
</file>

<file path=xl/tables/table8.xml><?xml version="1.0" encoding="utf-8"?>
<table xmlns="http://schemas.openxmlformats.org/spreadsheetml/2006/main" id="8" name="tblСтатьяРасходов_07" displayName="tblСтатьяРасходов_07" ref="B72:P75" headerRowCount="0" totalsRowCount="1">
  <tableColumns count="15">
    <tableColumn id="1" name="Education" totalsRowFunction="custom" headerRowDxfId="350" totalsRowDxfId="349">
      <totalsRowFormula>UPPER("ВСЕГО: " &amp; B71)</totalsRowFormula>
    </tableColumn>
    <tableColumn id="2" name="jan" totalsRowFunction="custom" headerRowDxfId="348" totalsRowDxfId="347">
      <totalsRowFormula>SUM(tblСтатьяРасходов_07[jan])</totalsRowFormula>
    </tableColumn>
    <tableColumn id="3" name="feb" totalsRowFunction="custom" headerRowDxfId="346" totalsRowDxfId="345">
      <totalsRowFormula>SUM(tblСтатьяРасходов_07[feb])</totalsRowFormula>
    </tableColumn>
    <tableColumn id="4" name="mar" totalsRowFunction="custom" headerRowDxfId="344" totalsRowDxfId="343">
      <totalsRowFormula>SUM(tblСтатьяРасходов_07[mar])</totalsRowFormula>
    </tableColumn>
    <tableColumn id="5" name="apr" totalsRowFunction="custom" headerRowDxfId="342" totalsRowDxfId="341">
      <totalsRowFormula>SUM(tblСтатьяРасходов_07[apr])</totalsRowFormula>
    </tableColumn>
    <tableColumn id="6" name="may" totalsRowFunction="custom" headerRowDxfId="340" totalsRowDxfId="339">
      <totalsRowFormula>SUM(tblСтатьяРасходов_07[may])</totalsRowFormula>
    </tableColumn>
    <tableColumn id="7" name="jun" totalsRowFunction="custom" headerRowDxfId="338" totalsRowDxfId="337">
      <totalsRowFormula>SUM(tblСтатьяРасходов_07[jun])</totalsRowFormula>
    </tableColumn>
    <tableColumn id="8" name="jul" totalsRowFunction="custom" headerRowDxfId="336" totalsRowDxfId="335">
      <totalsRowFormula>SUM(tblСтатьяРасходов_07[jul])</totalsRowFormula>
    </tableColumn>
    <tableColumn id="9" name="aug" totalsRowFunction="custom" headerRowDxfId="334" totalsRowDxfId="333">
      <totalsRowFormula>SUM(tblСтатьяРасходов_07[aug])</totalsRowFormula>
    </tableColumn>
    <tableColumn id="10" name="sep" totalsRowFunction="custom" headerRowDxfId="332" totalsRowDxfId="331">
      <totalsRowFormula>SUM(tblСтатьяРасходов_07[sep])</totalsRowFormula>
    </tableColumn>
    <tableColumn id="11" name="oct" totalsRowFunction="custom" headerRowDxfId="330" totalsRowDxfId="329">
      <totalsRowFormula>SUM(tblСтатьяРасходов_07[oct])</totalsRowFormula>
    </tableColumn>
    <tableColumn id="12" name="nov" totalsRowFunction="custom" headerRowDxfId="328" totalsRowDxfId="327">
      <totalsRowFormula>SUM(tblСтатьяРасходов_07[nov])</totalsRowFormula>
    </tableColumn>
    <tableColumn id="13" name="dec" totalsRowFunction="custom" headerRowDxfId="326" totalsRowDxfId="325">
      <totalsRowFormula>SUM(tblСтатьяРасходов_07[dec])</totalsRowFormula>
    </tableColumn>
    <tableColumn id="14" name="year" totalsRowFunction="custom" headerRowDxfId="324" dataDxfId="323" totalsRowDxfId="322">
      <calculatedColumnFormula>SUM(tblСтатьяРасходов_07[[#This Row],[jan]:[dec]])</calculatedColumnFormula>
      <totalsRowFormula>SUM(tblСтатьяРасходов_07[year])</totalsRowFormula>
    </tableColumn>
    <tableColumn id="15" name="avg" totalsRowFunction="custom" headerRowDxfId="321" dataDxfId="320" totalsRowDxfId="319">
      <calculatedColumnFormula>tblСтатьяРасходов_07[[#This Row],[year]]/12</calculatedColumnFormula>
      <totalsRowFormula>tblСтатьяРасходов_07[[#Totals],[year]]/12</totalsRowFormula>
    </tableColumn>
  </tableColumns>
  <tableStyleInfo name="Budget Tables" showFirstColumn="1" showLastColumn="0" showRowStripes="1" showColumnStripes="0"/>
  <extLst>
    <ext xmlns:x14="http://schemas.microsoft.com/office/spreadsheetml/2009/9/main" uri="{504A1905-F514-4f6f-8877-14C23A59335A}">
      <x14:table altText="Education expenses" altTextSummary="List of education expenses such as, Tuition, Books, etc."/>
    </ext>
  </extLst>
</table>
</file>

<file path=xl/tables/table9.xml><?xml version="1.0" encoding="utf-8"?>
<table xmlns="http://schemas.openxmlformats.org/spreadsheetml/2006/main" id="9" name="tblСтатьяРасходов_08" displayName="tblСтатьяРасходов_08" ref="B79:P82" headerRowCount="0" totalsRowCount="1">
  <tableColumns count="15">
    <tableColumn id="1" name="Charity" totalsRowFunction="custom" headerRowDxfId="318" totalsRowDxfId="317">
      <totalsRowFormula>UPPER("ВСЕГО: " &amp; B78)</totalsRowFormula>
    </tableColumn>
    <tableColumn id="2" name="jan" totalsRowFunction="custom" headerRowDxfId="316" totalsRowDxfId="315">
      <totalsRowFormula>SUM(tblСтатьяРасходов_08[jan])</totalsRowFormula>
    </tableColumn>
    <tableColumn id="3" name="feb" totalsRowFunction="custom" headerRowDxfId="314" totalsRowDxfId="313">
      <totalsRowFormula>SUM(tblСтатьяРасходов_08[feb])</totalsRowFormula>
    </tableColumn>
    <tableColumn id="4" name="mar" totalsRowFunction="custom" headerRowDxfId="312" totalsRowDxfId="311">
      <totalsRowFormula>SUM(tblСтатьяРасходов_08[mar])</totalsRowFormula>
    </tableColumn>
    <tableColumn id="5" name="apr" totalsRowFunction="custom" headerRowDxfId="310" totalsRowDxfId="309">
      <totalsRowFormula>SUM(tblСтатьяРасходов_08[apr])</totalsRowFormula>
    </tableColumn>
    <tableColumn id="6" name="may" totalsRowFunction="custom" headerRowDxfId="308" totalsRowDxfId="307">
      <totalsRowFormula>SUM(tblСтатьяРасходов_08[may])</totalsRowFormula>
    </tableColumn>
    <tableColumn id="7" name="jun" totalsRowFunction="custom" headerRowDxfId="306" totalsRowDxfId="305">
      <totalsRowFormula>SUM(tblСтатьяРасходов_08[jun])</totalsRowFormula>
    </tableColumn>
    <tableColumn id="8" name="jul" totalsRowFunction="custom" headerRowDxfId="304" totalsRowDxfId="303">
      <totalsRowFormula>SUM(tblСтатьяРасходов_08[jul])</totalsRowFormula>
    </tableColumn>
    <tableColumn id="9" name="aug" totalsRowFunction="custom" headerRowDxfId="302" totalsRowDxfId="301">
      <totalsRowFormula>SUM(tblСтатьяРасходов_08[aug])</totalsRowFormula>
    </tableColumn>
    <tableColumn id="10" name="sep" totalsRowFunction="custom" headerRowDxfId="300" totalsRowDxfId="299">
      <totalsRowFormula>SUM(tblСтатьяРасходов_08[sep])</totalsRowFormula>
    </tableColumn>
    <tableColumn id="11" name="oct" totalsRowFunction="custom" headerRowDxfId="298" totalsRowDxfId="297">
      <totalsRowFormula>SUM(tblСтатьяРасходов_08[oct])</totalsRowFormula>
    </tableColumn>
    <tableColumn id="12" name="nov" totalsRowFunction="custom" headerRowDxfId="296" totalsRowDxfId="295">
      <totalsRowFormula>SUM(tblСтатьяРасходов_08[nov])</totalsRowFormula>
    </tableColumn>
    <tableColumn id="13" name="dec" totalsRowFunction="custom" headerRowDxfId="294" totalsRowDxfId="293">
      <totalsRowFormula>SUM(tblСтатьяРасходов_08[dec])</totalsRowFormula>
    </tableColumn>
    <tableColumn id="14" name="year" totalsRowFunction="custom" headerRowDxfId="292" dataDxfId="291" totalsRowDxfId="290">
      <calculatedColumnFormula>SUM(tblСтатьяРасходов_08[[#This Row],[jan]:[dec]])</calculatedColumnFormula>
      <totalsRowFormula>SUM(tblСтатьяРасходов_08[year])</totalsRowFormula>
    </tableColumn>
    <tableColumn id="15" name="avg" totalsRowFunction="custom" headerRowDxfId="289" dataDxfId="288" totalsRowDxfId="287">
      <calculatedColumnFormula>tblСтатьяРасходов_08[[#This Row],[year]]/12</calculatedColumnFormula>
      <totalsRowFormula>tblСтатьяРасходов_08[[#Totals],[year]]/12</totalsRowFormula>
    </tableColumn>
  </tableColumns>
  <tableStyleInfo name="Budget Tables" showFirstColumn="1" showLastColumn="0" showRowStripes="1" showColumnStripes="0"/>
  <extLst>
    <ext xmlns:x14="http://schemas.microsoft.com/office/spreadsheetml/2009/9/main" uri="{504A1905-F514-4f6f-8877-14C23A59335A}">
      <x14:table altText="Charity expenses" altTextSummary="List of charity expenses by month such as, Gifts, Charitable Donations, etc. "/>
    </ext>
  </extLst>
</table>
</file>

<file path=xl/tables/table10.xml><?xml version="1.0" encoding="utf-8"?>
<table xmlns="http://schemas.openxmlformats.org/spreadsheetml/2006/main" id="10" name="tblСтатьяРасходов_09" displayName="tblСтатьяРасходов_09" ref="B86:P89" headerRowCount="0" totalsRowCount="1">
  <tableColumns count="15">
    <tableColumn id="1" name="Savings" totalsRowFunction="custom" headerRowDxfId="286" totalsRowDxfId="285">
      <totalsRowFormula>UPPER("ВСЕГО: " &amp; B85)</totalsRowFormula>
    </tableColumn>
    <tableColumn id="2" name="jan" totalsRowFunction="custom" headerRowDxfId="284" totalsRowDxfId="283">
      <totalsRowFormula>SUM(tblСтатьяРасходов_09[jan])</totalsRowFormula>
    </tableColumn>
    <tableColumn id="3" name="feb" totalsRowFunction="custom" headerRowDxfId="282" totalsRowDxfId="281">
      <totalsRowFormula>SUM(tblСтатьяРасходов_09[feb])</totalsRowFormula>
    </tableColumn>
    <tableColumn id="4" name="mar" totalsRowFunction="custom" headerRowDxfId="280" totalsRowDxfId="279">
      <totalsRowFormula>SUM(tblСтатьяРасходов_09[mar])</totalsRowFormula>
    </tableColumn>
    <tableColumn id="5" name="apr" totalsRowFunction="custom" headerRowDxfId="278" totalsRowDxfId="277">
      <totalsRowFormula>SUM(tblСтатьяРасходов_09[apr])</totalsRowFormula>
    </tableColumn>
    <tableColumn id="6" name="may" totalsRowFunction="custom" headerRowDxfId="276" totalsRowDxfId="275">
      <totalsRowFormula>SUM(tblСтатьяРасходов_09[may])</totalsRowFormula>
    </tableColumn>
    <tableColumn id="7" name="jun" totalsRowFunction="custom" headerRowDxfId="274" totalsRowDxfId="273">
      <totalsRowFormula>SUM(tblСтатьяРасходов_09[jun])</totalsRowFormula>
    </tableColumn>
    <tableColumn id="8" name="jul" totalsRowFunction="custom" headerRowDxfId="272" totalsRowDxfId="271">
      <totalsRowFormula>SUM(tblСтатьяРасходов_09[jul])</totalsRowFormula>
    </tableColumn>
    <tableColumn id="9" name="aug" totalsRowFunction="custom" headerRowDxfId="270" totalsRowDxfId="269">
      <totalsRowFormula>SUM(tblСтатьяРасходов_09[aug])</totalsRowFormula>
    </tableColumn>
    <tableColumn id="10" name="sep" totalsRowFunction="custom" headerRowDxfId="268" totalsRowDxfId="267">
      <totalsRowFormula>SUM(tblСтатьяРасходов_09[sep])</totalsRowFormula>
    </tableColumn>
    <tableColumn id="11" name="oct" totalsRowFunction="custom" headerRowDxfId="266" totalsRowDxfId="265">
      <totalsRowFormula>SUM(tblСтатьяРасходов_09[oct])</totalsRowFormula>
    </tableColumn>
    <tableColumn id="12" name="nov" totalsRowFunction="custom" headerRowDxfId="264" totalsRowDxfId="263">
      <totalsRowFormula>SUM(tblСтатьяРасходов_09[nov])</totalsRowFormula>
    </tableColumn>
    <tableColumn id="13" name="dec" totalsRowFunction="custom" headerRowDxfId="262" totalsRowDxfId="261">
      <totalsRowFormula>SUM(tblСтатьяРасходов_09[dec])</totalsRowFormula>
    </tableColumn>
    <tableColumn id="14" name="year" totalsRowFunction="custom" headerRowDxfId="260" dataDxfId="259" totalsRowDxfId="258">
      <calculatedColumnFormula>SUM(tblСтатьяРасходов_09[[#This Row],[jan]:[dec]])</calculatedColumnFormula>
      <totalsRowFormula>SUM(tblСтатьяРасходов_09[year])</totalsRowFormula>
    </tableColumn>
    <tableColumn id="15" name="avg" totalsRowFunction="custom" headerRowDxfId="257" dataDxfId="256" totalsRowDxfId="255">
      <calculatedColumnFormula>tblСтатьяРасходов_09[[#This Row],[year]]/12</calculatedColumnFormula>
      <totalsRowFormula>tblСтатьяРасходов_09[[#Totals],[year]]/12</totalsRowFormula>
    </tableColumn>
  </tableColumns>
  <tableStyleInfo name="Budget Tables" showFirstColumn="1" showLastColumn="0" showRowStripes="1" showColumnStripes="0"/>
  <extLst>
    <ext xmlns:x14="http://schemas.microsoft.com/office/spreadsheetml/2009/9/main" uri="{504A1905-F514-4f6f-8877-14C23A59335A}">
      <x14:table altText="Savings" altTextSummary="List of savings by month such as, Emergency Fund, Retirement, etc."/>
    </ext>
  </extLst>
</table>
</file>

<file path=xl/tables/table11.xml><?xml version="1.0" encoding="utf-8"?>
<table xmlns="http://schemas.openxmlformats.org/spreadsheetml/2006/main" id="11" name="tblСтатьяРасходов_10" displayName="tblСтатьяРасходов_10" ref="B93:P96" headerRowCount="0" totalsRowCount="1">
  <tableColumns count="15">
    <tableColumn id="1" name="Obligations" totalsRowFunction="custom" headerRowDxfId="254" totalsRowDxfId="253">
      <totalsRowFormula>UPPER("ВСЕГО: " &amp; B92)</totalsRowFormula>
    </tableColumn>
    <tableColumn id="2" name="jan" totalsRowFunction="custom" headerRowDxfId="252" totalsRowDxfId="251">
      <totalsRowFormula>SUM(tblСтатьяРасходов_10[jan])</totalsRowFormula>
    </tableColumn>
    <tableColumn id="3" name="feb" totalsRowFunction="custom" headerRowDxfId="250" totalsRowDxfId="249">
      <totalsRowFormula>SUM(tblСтатьяРасходов_10[feb])</totalsRowFormula>
    </tableColumn>
    <tableColumn id="4" name="mar" totalsRowFunction="custom" headerRowDxfId="248" totalsRowDxfId="247">
      <totalsRowFormula>SUM(tblСтатьяРасходов_10[mar])</totalsRowFormula>
    </tableColumn>
    <tableColumn id="5" name="apr" totalsRowFunction="custom" headerRowDxfId="246" totalsRowDxfId="245">
      <totalsRowFormula>SUM(tblСтатьяРасходов_10[apr])</totalsRowFormula>
    </tableColumn>
    <tableColumn id="6" name="may" totalsRowFunction="custom" headerRowDxfId="244" totalsRowDxfId="243">
      <totalsRowFormula>SUM(tblСтатьяРасходов_10[may])</totalsRowFormula>
    </tableColumn>
    <tableColumn id="7" name="jun" totalsRowFunction="custom" headerRowDxfId="242" totalsRowDxfId="241">
      <totalsRowFormula>SUM(tblСтатьяРасходов_10[jun])</totalsRowFormula>
    </tableColumn>
    <tableColumn id="8" name="jul" totalsRowFunction="custom" headerRowDxfId="240" totalsRowDxfId="239">
      <totalsRowFormula>SUM(tblСтатьяРасходов_10[jul])</totalsRowFormula>
    </tableColumn>
    <tableColumn id="9" name="aug" totalsRowFunction="custom" headerRowDxfId="238" totalsRowDxfId="237">
      <totalsRowFormula>SUM(tblСтатьяРасходов_10[aug])</totalsRowFormula>
    </tableColumn>
    <tableColumn id="10" name="sep" totalsRowFunction="custom" headerRowDxfId="236" totalsRowDxfId="235">
      <totalsRowFormula>SUM(tblСтатьяРасходов_10[sep])</totalsRowFormula>
    </tableColumn>
    <tableColumn id="11" name="oct" totalsRowFunction="custom" headerRowDxfId="234" totalsRowDxfId="233">
      <totalsRowFormula>SUM(tblСтатьяРасходов_10[oct])</totalsRowFormula>
    </tableColumn>
    <tableColumn id="12" name="nov" totalsRowFunction="custom" headerRowDxfId="232" totalsRowDxfId="231">
      <totalsRowFormula>SUM(tblСтатьяРасходов_10[nov])</totalsRowFormula>
    </tableColumn>
    <tableColumn id="13" name="dec" totalsRowFunction="custom" headerRowDxfId="230" totalsRowDxfId="229">
      <totalsRowFormula>SUM(tblСтатьяРасходов_10[dec])</totalsRowFormula>
    </tableColumn>
    <tableColumn id="14" name="year" totalsRowFunction="custom" headerRowDxfId="228" dataDxfId="227" totalsRowDxfId="226">
      <calculatedColumnFormula>SUM(tblСтатьяРасходов_10[[#This Row],[jan]:[dec]])</calculatedColumnFormula>
      <totalsRowFormula>SUM(tblСтатьяРасходов_10[year])</totalsRowFormula>
    </tableColumn>
    <tableColumn id="15" name="avg" totalsRowFunction="custom" headerRowDxfId="225" dataDxfId="224" totalsRowDxfId="223">
      <calculatedColumnFormula>tblСтатьяРасходов_10[[#This Row],[year]]/12</calculatedColumnFormula>
      <totalsRowFormula>tblСтатьяРасходов_10[[#Totals],[year]]/12</totalsRowFormula>
    </tableColumn>
  </tableColumns>
  <tableStyleInfo name="Budget Tables" showFirstColumn="1" showLastColumn="0" showRowStripes="1" showColumnStripes="0"/>
  <extLst>
    <ext xmlns:x14="http://schemas.microsoft.com/office/spreadsheetml/2009/9/main" uri="{504A1905-F514-4f6f-8877-14C23A59335A}">
      <x14:table altText="Obligation expenses" altTextSummary="List obligation expenses by month such as, Credit Card #1, Federal Taxes, Student Loans, etc."/>
    </ext>
  </extLst>
</table>
</file>

<file path=xl/tables/table12.xml><?xml version="1.0" encoding="utf-8"?>
<table xmlns="http://schemas.openxmlformats.org/spreadsheetml/2006/main" id="12" name="tblСтатьяРасходов_11" displayName="tblСтатьяРасходов_11" ref="B100:P103" headerRowCount="0" totalsRowCount="1">
  <tableColumns count="15">
    <tableColumn id="1" name=" " totalsRowFunction="custom" headerRowDxfId="222" totalsRowDxfId="221">
      <totalsRowFormula>UPPER("ИТОГО " &amp; B99)</totalsRowFormula>
    </tableColumn>
    <tableColumn id="2" name="jan" totalsRowFunction="custom" headerRowDxfId="220" totalsRowDxfId="219">
      <totalsRowFormula>SUM(tblСтатьяРасходов_11[jan])</totalsRowFormula>
    </tableColumn>
    <tableColumn id="3" name="feb" totalsRowFunction="custom" headerRowDxfId="218" totalsRowDxfId="217">
      <totalsRowFormula>SUM(tblСтатьяРасходов_11[feb])</totalsRowFormula>
    </tableColumn>
    <tableColumn id="4" name="mar" totalsRowFunction="custom" headerRowDxfId="216" totalsRowDxfId="215">
      <totalsRowFormula>SUM(tblСтатьяРасходов_11[mar])</totalsRowFormula>
    </tableColumn>
    <tableColumn id="5" name="apr" totalsRowFunction="custom" headerRowDxfId="214" totalsRowDxfId="213">
      <totalsRowFormula>SUM(tblСтатьяРасходов_11[apr])</totalsRowFormula>
    </tableColumn>
    <tableColumn id="6" name="may" totalsRowFunction="custom" headerRowDxfId="212" totalsRowDxfId="211">
      <totalsRowFormula>SUM(tblСтатьяРасходов_11[may])</totalsRowFormula>
    </tableColumn>
    <tableColumn id="7" name="jun" totalsRowFunction="custom" headerRowDxfId="210" totalsRowDxfId="209">
      <totalsRowFormula>SUM(tblСтатьяРасходов_11[jun])</totalsRowFormula>
    </tableColumn>
    <tableColumn id="8" name="jul" totalsRowFunction="custom" headerRowDxfId="208" totalsRowDxfId="207">
      <totalsRowFormula>SUM(tblСтатьяРасходов_11[jul])</totalsRowFormula>
    </tableColumn>
    <tableColumn id="9" name="aug" totalsRowFunction="custom" headerRowDxfId="206" totalsRowDxfId="205">
      <totalsRowFormula>SUM(tblСтатьяРасходов_11[aug])</totalsRowFormula>
    </tableColumn>
    <tableColumn id="10" name="sep" totalsRowFunction="custom" headerRowDxfId="204" totalsRowDxfId="203">
      <totalsRowFormula>SUM(tblСтатьяРасходов_11[sep])</totalsRowFormula>
    </tableColumn>
    <tableColumn id="11" name="oct" totalsRowFunction="custom" headerRowDxfId="202" totalsRowDxfId="201">
      <totalsRowFormula>SUM(tblСтатьяРасходов_11[oct])</totalsRowFormula>
    </tableColumn>
    <tableColumn id="12" name="nov" totalsRowFunction="custom" headerRowDxfId="200" totalsRowDxfId="199">
      <totalsRowFormula>SUM(tblСтатьяРасходов_11[nov])</totalsRowFormula>
    </tableColumn>
    <tableColumn id="13" name="dec" totalsRowFunction="custom" headerRowDxfId="198" totalsRowDxfId="197">
      <totalsRowFormula>SUM(tblСтатьяРасходов_11[dec])</totalsRowFormula>
    </tableColumn>
    <tableColumn id="14" name="year" totalsRowFunction="custom" headerRowDxfId="196" dataDxfId="195" totalsRowDxfId="194">
      <calculatedColumnFormula>SUM(tblСтатьяРасходов_11[[#This Row],[jan]:[dec]])</calculatedColumnFormula>
      <totalsRowFormula>SUM(tblСтатьяРасходов_11[year])</totalsRowFormula>
    </tableColumn>
    <tableColumn id="15" name="avg" totalsRowFunction="custom" headerRowDxfId="193" dataDxfId="192" totalsRowDxfId="191">
      <calculatedColumnFormula>tblСтатьяРасходов_11[[#This Row],[year]]/12</calculatedColumnFormula>
      <totalsRowFormula>tblСтатьяРасходов_11[[#Totals],[year]]/12</totalsRowFormula>
    </tableColumn>
  </tableColumns>
  <tableStyleInfo name="Budget Tables" showFirstColumn="1" showLastColumn="0" showRowStripes="1" showColumnStripes="0"/>
  <extLst>
    <ext xmlns:x14="http://schemas.microsoft.com/office/spreadsheetml/2009/9/main" uri="{504A1905-F514-4f6f-8877-14C23A59335A}">
      <x14:table altText="Empty Expense table" altTextSummary="Expense table you can customize for your needs for monthly expenses that do not fit in the expense categories provided."/>
    </ext>
  </extLst>
</table>
</file>

<file path=xl/tables/table13.xml><?xml version="1.0" encoding="utf-8"?>
<table xmlns="http://schemas.openxmlformats.org/spreadsheetml/2006/main" id="13" name="tblСтатьяРасходов_12" displayName="tblСтатьяРасходов_12" ref="B107:P110" headerRowCount="0" totalsRowCount="1">
  <tableColumns count="15">
    <tableColumn id="1" name=" " totalsRowFunction="custom" headerRowDxfId="190" totalsRowDxfId="189">
      <totalsRowFormula>UPPER("ИТОГО " &amp; B106)</totalsRowFormula>
    </tableColumn>
    <tableColumn id="2" name="jan" totalsRowFunction="custom" headerRowDxfId="188" totalsRowDxfId="187">
      <totalsRowFormula>SUM(tblСтатьяРасходов_12[jan])</totalsRowFormula>
    </tableColumn>
    <tableColumn id="3" name="feb" totalsRowFunction="custom" headerRowDxfId="186" totalsRowDxfId="185">
      <totalsRowFormula>SUM(tblСтатьяРасходов_12[feb])</totalsRowFormula>
    </tableColumn>
    <tableColumn id="4" name="mar" totalsRowFunction="custom" headerRowDxfId="184" totalsRowDxfId="183">
      <totalsRowFormula>SUM(tblСтатьяРасходов_12[mar])</totalsRowFormula>
    </tableColumn>
    <tableColumn id="5" name="apr" totalsRowFunction="custom" headerRowDxfId="182" totalsRowDxfId="181">
      <totalsRowFormula>SUM(tblСтатьяРасходов_12[apr])</totalsRowFormula>
    </tableColumn>
    <tableColumn id="6" name="may" totalsRowFunction="custom" headerRowDxfId="180" totalsRowDxfId="179">
      <totalsRowFormula>SUM(tblСтатьяРасходов_12[may])</totalsRowFormula>
    </tableColumn>
    <tableColumn id="7" name="jun" totalsRowFunction="custom" headerRowDxfId="178" totalsRowDxfId="177">
      <totalsRowFormula>SUM(tblСтатьяРасходов_12[jun])</totalsRowFormula>
    </tableColumn>
    <tableColumn id="8" name="jul" totalsRowFunction="custom" headerRowDxfId="176" totalsRowDxfId="175">
      <totalsRowFormula>SUM(tblСтатьяРасходов_12[jul])</totalsRowFormula>
    </tableColumn>
    <tableColumn id="9" name="aug" totalsRowFunction="custom" headerRowDxfId="174" totalsRowDxfId="173">
      <totalsRowFormula>SUM(tblСтатьяРасходов_12[aug])</totalsRowFormula>
    </tableColumn>
    <tableColumn id="10" name="sep" totalsRowFunction="custom" headerRowDxfId="172" totalsRowDxfId="171">
      <totalsRowFormula>SUM(tblСтатьяРасходов_12[sep])</totalsRowFormula>
    </tableColumn>
    <tableColumn id="11" name="oct" totalsRowFunction="custom" headerRowDxfId="170" totalsRowDxfId="169">
      <totalsRowFormula>SUM(tblСтатьяРасходов_12[oct])</totalsRowFormula>
    </tableColumn>
    <tableColumn id="12" name="nov" totalsRowFunction="custom" headerRowDxfId="168" totalsRowDxfId="167">
      <totalsRowFormula>SUM(tblСтатьяРасходов_12[nov])</totalsRowFormula>
    </tableColumn>
    <tableColumn id="13" name="dec" totalsRowFunction="custom" headerRowDxfId="166" totalsRowDxfId="165">
      <totalsRowFormula>SUM(tblСтатьяРасходов_12[dec])</totalsRowFormula>
    </tableColumn>
    <tableColumn id="14" name="year" totalsRowFunction="custom" headerRowDxfId="164" dataDxfId="163" totalsRowDxfId="162">
      <calculatedColumnFormula>SUM(tblСтатьяРасходов_12[[#This Row],[jan]:[dec]])</calculatedColumnFormula>
      <totalsRowFormula>SUM(tblСтатьяРасходов_12[year])</totalsRowFormula>
    </tableColumn>
    <tableColumn id="15" name="avg" totalsRowFunction="custom" headerRowDxfId="161" dataDxfId="160" totalsRowDxfId="159">
      <calculatedColumnFormula>tblСтатьяРасходов_12[[#This Row],[year]]/12</calculatedColumnFormula>
      <totalsRowFormula>tblСтатьяРасходов_12[[#Totals],[year]]/12</totalsRowFormula>
    </tableColumn>
  </tableColumns>
  <tableStyleInfo name="Budget Tables" showFirstColumn="1" showLastColumn="0" showRowStripes="1" showColumnStripes="0"/>
  <extLst>
    <ext xmlns:x14="http://schemas.microsoft.com/office/spreadsheetml/2009/9/main" uri="{504A1905-F514-4f6f-8877-14C23A59335A}">
      <x14:table altText="Empty Expense table" altTextSummary="Expense table you can customize for your needs for monthly expenses that do not fit in the expense categories provided."/>
    </ext>
  </extLst>
</table>
</file>

<file path=xl/tables/table14.xml><?xml version="1.0" encoding="utf-8"?>
<table xmlns="http://schemas.openxmlformats.org/spreadsheetml/2006/main" id="14" name="tblСтатьяРасходов_13" displayName="tblСтатьяРасходов_13" ref="B114:P117" headerRowCount="0" totalsRowCount="1">
  <tableColumns count="15">
    <tableColumn id="1" name=" " totalsRowFunction="custom" headerRowDxfId="158" totalsRowDxfId="157">
      <totalsRowFormula>UPPER("ИТОГО " &amp; B113)</totalsRowFormula>
    </tableColumn>
    <tableColumn id="2" name="jan" totalsRowFunction="custom" headerRowDxfId="156" totalsRowDxfId="155">
      <totalsRowFormula>SUM(tblСтатьяРасходов_13[jan])</totalsRowFormula>
    </tableColumn>
    <tableColumn id="3" name="feb" totalsRowFunction="custom" headerRowDxfId="154" totalsRowDxfId="153">
      <totalsRowFormula>SUM(tblСтатьяРасходов_13[feb])</totalsRowFormula>
    </tableColumn>
    <tableColumn id="4" name="mar" totalsRowFunction="custom" headerRowDxfId="152" totalsRowDxfId="151">
      <totalsRowFormula>SUM(tblСтатьяРасходов_13[mar])</totalsRowFormula>
    </tableColumn>
    <tableColumn id="5" name="apr" totalsRowFunction="custom" headerRowDxfId="150" totalsRowDxfId="149">
      <totalsRowFormula>SUM(tblСтатьяРасходов_13[apr])</totalsRowFormula>
    </tableColumn>
    <tableColumn id="6" name="may" totalsRowFunction="custom" headerRowDxfId="148" totalsRowDxfId="147">
      <totalsRowFormula>SUM(tblСтатьяРасходов_13[may])</totalsRowFormula>
    </tableColumn>
    <tableColumn id="7" name="jun" totalsRowFunction="custom" headerRowDxfId="146" totalsRowDxfId="145">
      <totalsRowFormula>SUM(tblСтатьяРасходов_13[jun])</totalsRowFormula>
    </tableColumn>
    <tableColumn id="8" name="jul" totalsRowFunction="custom" headerRowDxfId="144" totalsRowDxfId="143">
      <totalsRowFormula>SUM(tblСтатьяРасходов_13[jul])</totalsRowFormula>
    </tableColumn>
    <tableColumn id="9" name="aug" totalsRowFunction="custom" headerRowDxfId="142" totalsRowDxfId="141">
      <totalsRowFormula>SUM(tblСтатьяРасходов_13[aug])</totalsRowFormula>
    </tableColumn>
    <tableColumn id="10" name="sep" totalsRowFunction="custom" headerRowDxfId="140" totalsRowDxfId="139">
      <totalsRowFormula>SUM(tblСтатьяРасходов_13[sep])</totalsRowFormula>
    </tableColumn>
    <tableColumn id="11" name="oct" totalsRowFunction="custom" headerRowDxfId="138" totalsRowDxfId="137">
      <totalsRowFormula>SUM(tblСтатьяРасходов_13[oct])</totalsRowFormula>
    </tableColumn>
    <tableColumn id="12" name="nov" totalsRowFunction="custom" headerRowDxfId="136" totalsRowDxfId="135">
      <totalsRowFormula>SUM(tblСтатьяРасходов_13[nov])</totalsRowFormula>
    </tableColumn>
    <tableColumn id="13" name="dec" totalsRowFunction="custom" headerRowDxfId="134" totalsRowDxfId="133">
      <totalsRowFormula>SUM(tblСтатьяРасходов_13[dec])</totalsRowFormula>
    </tableColumn>
    <tableColumn id="14" name="year" totalsRowFunction="custom" headerRowDxfId="132" dataDxfId="131" totalsRowDxfId="130">
      <calculatedColumnFormula>SUM(tblСтатьяРасходов_13[[#This Row],[jan]:[dec]])</calculatedColumnFormula>
      <totalsRowFormula>SUM(tblСтатьяРасходов_13[year])</totalsRowFormula>
    </tableColumn>
    <tableColumn id="15" name="avg" totalsRowFunction="custom" headerRowDxfId="129" dataDxfId="128" totalsRowDxfId="127">
      <calculatedColumnFormula>tblСтатьяРасходов_13[[#This Row],[year]]/12</calculatedColumnFormula>
      <totalsRowFormula>tblСтатьяРасходов_13[[#Totals],[year]]/12</totalsRowFormula>
    </tableColumn>
  </tableColumns>
  <tableStyleInfo name="Budget Tables" showFirstColumn="1" showLastColumn="0" showRowStripes="1" showColumnStripes="0"/>
  <extLst>
    <ext xmlns:x14="http://schemas.microsoft.com/office/spreadsheetml/2009/9/main" uri="{504A1905-F514-4f6f-8877-14C23A59335A}">
      <x14:table altText="Empty Expense table" altTextSummary="Expense table you can customize for your needs for monthly expenses that do not fit in the expense categories provided."/>
    </ext>
  </extLst>
</table>
</file>

<file path=xl/tables/table15.xml><?xml version="1.0" encoding="utf-8"?>
<table xmlns="http://schemas.openxmlformats.org/spreadsheetml/2006/main" id="15" name="tblСтатьяРасходов_14" displayName="tblСтатьяРасходов_14" ref="B121:P124" headerRowCount="0" totalsRowCount="1">
  <tableColumns count="15">
    <tableColumn id="1" name=" " totalsRowFunction="custom" headerRowDxfId="126" totalsRowDxfId="125">
      <totalsRowFormula>UPPER("ИТОГО " &amp; B120)</totalsRowFormula>
    </tableColumn>
    <tableColumn id="2" name="jan" totalsRowFunction="custom" headerRowDxfId="124" totalsRowDxfId="123">
      <totalsRowFormula>SUM(tblСтатьяРасходов_14[jan])</totalsRowFormula>
    </tableColumn>
    <tableColumn id="3" name="feb" totalsRowFunction="custom" headerRowDxfId="122" totalsRowDxfId="121">
      <totalsRowFormula>SUM(tblСтатьяРасходов_14[feb])</totalsRowFormula>
    </tableColumn>
    <tableColumn id="4" name="mar" totalsRowFunction="custom" headerRowDxfId="120" totalsRowDxfId="119">
      <totalsRowFormula>SUM(tblСтатьяРасходов_14[mar])</totalsRowFormula>
    </tableColumn>
    <tableColumn id="5" name="apr" totalsRowFunction="custom" headerRowDxfId="118" totalsRowDxfId="117">
      <totalsRowFormula>SUM(tblСтатьяРасходов_14[apr])</totalsRowFormula>
    </tableColumn>
    <tableColumn id="6" name="may" totalsRowFunction="custom" headerRowDxfId="116" totalsRowDxfId="115">
      <totalsRowFormula>SUM(tblСтатьяРасходов_14[may])</totalsRowFormula>
    </tableColumn>
    <tableColumn id="7" name="jun" totalsRowFunction="custom" headerRowDxfId="114" totalsRowDxfId="113">
      <totalsRowFormula>SUM(tblСтатьяРасходов_14[jun])</totalsRowFormula>
    </tableColumn>
    <tableColumn id="8" name="jul" totalsRowFunction="custom" headerRowDxfId="112" totalsRowDxfId="111">
      <totalsRowFormula>SUM(tblСтатьяРасходов_14[jul])</totalsRowFormula>
    </tableColumn>
    <tableColumn id="9" name="aug" totalsRowFunction="custom" headerRowDxfId="110" totalsRowDxfId="109">
      <totalsRowFormula>SUM(tblСтатьяРасходов_14[aug])</totalsRowFormula>
    </tableColumn>
    <tableColumn id="10" name="sep" totalsRowFunction="custom" headerRowDxfId="108" totalsRowDxfId="107">
      <totalsRowFormula>SUM(tblСтатьяРасходов_14[sep])</totalsRowFormula>
    </tableColumn>
    <tableColumn id="11" name="oct" totalsRowFunction="custom" headerRowDxfId="106" totalsRowDxfId="105">
      <totalsRowFormula>SUM(tblСтатьяРасходов_14[oct])</totalsRowFormula>
    </tableColumn>
    <tableColumn id="12" name="nov" totalsRowFunction="custom" headerRowDxfId="104" totalsRowDxfId="103">
      <totalsRowFormula>SUM(tblСтатьяРасходов_14[nov])</totalsRowFormula>
    </tableColumn>
    <tableColumn id="13" name="dec" totalsRowFunction="custom" headerRowDxfId="102" totalsRowDxfId="101">
      <totalsRowFormula>SUM(tblСтатьяРасходов_14[dec])</totalsRowFormula>
    </tableColumn>
    <tableColumn id="14" name="year" totalsRowFunction="custom" headerRowDxfId="100" dataDxfId="99" totalsRowDxfId="98">
      <calculatedColumnFormula>SUM(tblСтатьяРасходов_14[[#This Row],[jan]:[dec]])</calculatedColumnFormula>
      <totalsRowFormula>SUM(tblСтатьяРасходов_14[year])</totalsRowFormula>
    </tableColumn>
    <tableColumn id="15" name="avg" totalsRowFunction="custom" headerRowDxfId="97" dataDxfId="96" totalsRowDxfId="95">
      <calculatedColumnFormula>tblСтатьяРасходов_14[[#This Row],[year]]/12</calculatedColumnFormula>
      <totalsRowFormula>tblСтатьяРасходов_14[[#Totals],[year]]/12</totalsRowFormula>
    </tableColumn>
  </tableColumns>
  <tableStyleInfo name="Budget Tables" showFirstColumn="1" showLastColumn="0" showRowStripes="1" showColumnStripes="0"/>
  <extLst>
    <ext xmlns:x14="http://schemas.microsoft.com/office/spreadsheetml/2009/9/main" uri="{504A1905-F514-4f6f-8877-14C23A59335A}">
      <x14:table altText="Empty Expense table" altTextSummary="Expense table you can customize for your needs for monthly expenses that do not fit in the expense categories provided."/>
    </ext>
  </extLst>
</table>
</file>

<file path=xl/tables/table16.xml><?xml version="1.0" encoding="utf-8"?>
<table xmlns="http://schemas.openxmlformats.org/spreadsheetml/2006/main" id="16" name="tblСтатьяРасходов_15" displayName="tblСтатьяРасходов_15" ref="B128:P131" headerRowCount="0" totalsRowCount="1">
  <tableColumns count="15">
    <tableColumn id="1" name=" " totalsRowFunction="custom" headerRowDxfId="94" totalsRowDxfId="93">
      <totalsRowFormula>UPPER("ИТОГО" &amp; B127)</totalsRowFormula>
    </tableColumn>
    <tableColumn id="2" name="jan" totalsRowFunction="custom" headerRowDxfId="92" totalsRowDxfId="91">
      <totalsRowFormula>SUM(tblСтатьяРасходов_15[jan])</totalsRowFormula>
    </tableColumn>
    <tableColumn id="3" name="feb" totalsRowFunction="custom" headerRowDxfId="90" totalsRowDxfId="89">
      <totalsRowFormula>SUM(tblСтатьяРасходов_15[feb])</totalsRowFormula>
    </tableColumn>
    <tableColumn id="4" name="mar" totalsRowFunction="custom" headerRowDxfId="88" totalsRowDxfId="87">
      <totalsRowFormula>SUM(tblСтатьяРасходов_15[mar])</totalsRowFormula>
    </tableColumn>
    <tableColumn id="5" name="apr" totalsRowFunction="custom" headerRowDxfId="86" totalsRowDxfId="85">
      <totalsRowFormula>SUM(tblСтатьяРасходов_15[apr])</totalsRowFormula>
    </tableColumn>
    <tableColumn id="6" name="may" totalsRowFunction="custom" headerRowDxfId="84" totalsRowDxfId="83">
      <totalsRowFormula>SUM(tblСтатьяРасходов_15[may])</totalsRowFormula>
    </tableColumn>
    <tableColumn id="7" name="jun" totalsRowFunction="custom" headerRowDxfId="82" totalsRowDxfId="81">
      <totalsRowFormula>SUM(tblСтатьяРасходов_15[jun])</totalsRowFormula>
    </tableColumn>
    <tableColumn id="8" name="jul" totalsRowFunction="custom" headerRowDxfId="80" totalsRowDxfId="79">
      <totalsRowFormula>SUM(tblСтатьяРасходов_15[jul])</totalsRowFormula>
    </tableColumn>
    <tableColumn id="9" name="aug" totalsRowFunction="custom" headerRowDxfId="78" totalsRowDxfId="77">
      <totalsRowFormula>SUM(tblСтатьяРасходов_15[aug])</totalsRowFormula>
    </tableColumn>
    <tableColumn id="10" name="sep" totalsRowFunction="custom" headerRowDxfId="76" totalsRowDxfId="75">
      <totalsRowFormula>SUM(tblСтатьяРасходов_15[sep])</totalsRowFormula>
    </tableColumn>
    <tableColumn id="11" name="oct" totalsRowFunction="custom" headerRowDxfId="74" totalsRowDxfId="73">
      <totalsRowFormula>SUM(tblСтатьяРасходов_15[oct])</totalsRowFormula>
    </tableColumn>
    <tableColumn id="12" name="nov" totalsRowFunction="custom" headerRowDxfId="72" totalsRowDxfId="71">
      <totalsRowFormula>SUM(tblСтатьяРасходов_15[nov])</totalsRowFormula>
    </tableColumn>
    <tableColumn id="13" name="dec" totalsRowFunction="custom" headerRowDxfId="70" totalsRowDxfId="69">
      <totalsRowFormula>SUM(tblСтатьяРасходов_15[dec])</totalsRowFormula>
    </tableColumn>
    <tableColumn id="14" name="year" totalsRowFunction="custom" headerRowDxfId="68" dataDxfId="67" totalsRowDxfId="66">
      <calculatedColumnFormula>SUM(tblСтатьяРасходов_15[[#This Row],[jan]:[dec]])</calculatedColumnFormula>
      <totalsRowFormula>SUM(tblСтатьяРасходов_15[year])</totalsRowFormula>
    </tableColumn>
    <tableColumn id="15" name="avg" totalsRowFunction="custom" headerRowDxfId="65" dataDxfId="64" totalsRowDxfId="63">
      <calculatedColumnFormula>tblСтатьяРасходов_15[[#This Row],[year]]/12</calculatedColumnFormula>
      <totalsRowFormula>tblСтатьяРасходов_15[[#Totals],[year]]/12</totalsRowFormula>
    </tableColumn>
  </tableColumns>
  <tableStyleInfo name="Budget Tables" showFirstColumn="1" showLastColumn="0" showRowStripes="1" showColumnStripes="0"/>
  <extLst>
    <ext xmlns:x14="http://schemas.microsoft.com/office/spreadsheetml/2009/9/main" uri="{504A1905-F514-4f6f-8877-14C23A59335A}">
      <x14:table altText="Empty Expense table" altTextSummary="Expense table you can customize for your needs for monthly expenses that do not fit in the expense categories provided."/>
    </ext>
  </extLst>
</table>
</file>

<file path=xl/tables/table17.xml><?xml version="1.0" encoding="utf-8"?>
<table xmlns="http://schemas.openxmlformats.org/spreadsheetml/2006/main" id="35" name="tblДвижениеСредств" displayName="tblДвижениеСредств" ref="B6:P9" headerRowCount="0" totalsRowShown="0">
  <tableColumns count="15">
    <tableColumn id="1" name="Income"/>
    <tableColumn id="2" name="Jan" headerRowDxfId="62"/>
    <tableColumn id="3" name="Feb" headerRowDxfId="61"/>
    <tableColumn id="4" name="Mar" headerRowDxfId="60"/>
    <tableColumn id="5" name="Apr" headerRowDxfId="59"/>
    <tableColumn id="6" name="May" headerRowDxfId="58"/>
    <tableColumn id="7" name="Jun" headerRowDxfId="57"/>
    <tableColumn id="8" name="Jul" headerRowDxfId="56"/>
    <tableColumn id="9" name="Aug" headerRowDxfId="55"/>
    <tableColumn id="10" name="Sep" headerRowDxfId="54"/>
    <tableColumn id="11" name="Oct" headerRowDxfId="53"/>
    <tableColumn id="12" name="Nov" headerRowDxfId="52"/>
    <tableColumn id="13" name="Dec" headerRowDxfId="51"/>
    <tableColumn id="14" name="Year" headerRowDxfId="50" dataDxfId="49"/>
    <tableColumn id="15" name="Avg" headerRowDxfId="48" dataDxfId="47"/>
  </tableColumns>
  <tableStyleInfo name="Budget Tables" showFirstColumn="1" showLastColumn="0" showRowStripes="1" showColumnStripes="0"/>
  <extLst>
    <ext xmlns:x14="http://schemas.microsoft.com/office/spreadsheetml/2009/9/main" uri="{504A1905-F514-4f6f-8877-14C23A59335A}">
      <x14:table altText="Cash Flow" altTextSummary="List of monthly Total Income, Total Expenses, and Net Income along with monthly Total Cash Flow."/>
    </ext>
  </extLst>
</table>
</file>

<file path=xl/tables/table18.xml><?xml version="1.0" encoding="utf-8"?>
<table xmlns="http://schemas.openxmlformats.org/spreadsheetml/2006/main" id="17" name="tblСтатьиРасходов" displayName="tblСтатьиРасходов" ref="D2:D18" totalsRowShown="0" headerRowDxfId="46">
  <tableColumns count="1">
    <tableColumn id="1" name="Расходы"/>
  </tableColumns>
  <tableStyleInfo name="Other Custom Table Style" showFirstColumn="0" showLastColumn="0" showRowStripes="1" showColumnStripes="0"/>
  <extLst>
    <ext xmlns:x14="http://schemas.microsoft.com/office/spreadsheetml/2009/9/main" uri="{504A1905-F514-4f6f-8877-14C23A59335A}">
      <x14:table altText="Expense categories" altTextSummary="List of Expense categories for expense tables on the Budget sheet."/>
    </ext>
  </extLst>
</table>
</file>

<file path=xl/tables/table19.xml><?xml version="1.0" encoding="utf-8"?>
<table xmlns="http://schemas.openxmlformats.org/spreadsheetml/2006/main" id="18" name="tblРасходыЖилье" displayName="tblРасходыЖилье" ref="F4:F17" totalsRowShown="0" headerRowDxfId="45" dataDxfId="44">
  <tableColumns count="1">
    <tableColumn id="1" name="Жилье" dataDxfId="43"/>
  </tableColumns>
  <tableStyleInfo name="Setup Tables" showFirstColumn="0" showLastColumn="0" showRowStripes="1" showColumnStripes="0"/>
  <extLst>
    <ext xmlns:x14="http://schemas.microsoft.com/office/spreadsheetml/2009/9/main" uri="{504A1905-F514-4f6f-8877-14C23A59335A}">
      <x14:table altText="Home expense list" altTextSummary="List of expenses that correspond to the Home category."/>
    </ext>
  </extLst>
</table>
</file>

<file path=xl/tables/table20.xml><?xml version="1.0" encoding="utf-8"?>
<table xmlns="http://schemas.openxmlformats.org/spreadsheetml/2006/main" id="19" name="tblРасходыБытНужды" displayName="tblРасходыБытНужды" ref="H4:H12" totalsRowShown="0" headerRowDxfId="42" dataDxfId="41">
  <tableColumns count="1">
    <tableColumn id="1" name="Бытовые нужды" dataDxfId="40"/>
  </tableColumns>
  <tableStyleInfo name="Setup Tables" showFirstColumn="0" showLastColumn="0" showRowStripes="1" showColumnStripes="0"/>
  <extLst>
    <ext xmlns:x14="http://schemas.microsoft.com/office/spreadsheetml/2009/9/main" uri="{504A1905-F514-4f6f-8877-14C23A59335A}">
      <x14:table altText="Daily Living expense list" altTextSummary="List of expenses that correspond to the daily living category."/>
    </ext>
  </extLst>
</table>
</file>

<file path=xl/tables/table21.xml><?xml version="1.0" encoding="utf-8"?>
<table xmlns="http://schemas.openxmlformats.org/spreadsheetml/2006/main" id="20" name="tblРасходыДети" displayName="tblРасходыДети" ref="J4:J12" totalsRowShown="0" headerRowDxfId="39" dataDxfId="38">
  <tableColumns count="1">
    <tableColumn id="1" name="Дети" dataDxfId="37"/>
  </tableColumns>
  <tableStyleInfo name="Setup Tables" showFirstColumn="0" showLastColumn="0" showRowStripes="1" showColumnStripes="0"/>
  <extLst>
    <ext xmlns:x14="http://schemas.microsoft.com/office/spreadsheetml/2009/9/main" uri="{504A1905-F514-4f6f-8877-14C23A59335A}">
      <x14:table altText="Children expense list" altTextSummary="List of expenses that correspond to the Children category."/>
    </ext>
  </extLst>
</table>
</file>

<file path=xl/tables/table22.xml><?xml version="1.0" encoding="utf-8"?>
<table xmlns="http://schemas.openxmlformats.org/spreadsheetml/2006/main" id="21" name="tblРасходыТранспорт" displayName="tblРасходыТранспорт" ref="F20:F26" totalsRowShown="0" headerRowDxfId="36" dataDxfId="35">
  <tableColumns count="1">
    <tableColumn id="1" name="Транспорт" dataDxfId="34"/>
  </tableColumns>
  <tableStyleInfo name="Setup Tables" showFirstColumn="0" showLastColumn="0" showRowStripes="1" showColumnStripes="0"/>
  <extLst>
    <ext xmlns:x14="http://schemas.microsoft.com/office/spreadsheetml/2009/9/main" uri="{504A1905-F514-4f6f-8877-14C23A59335A}">
      <x14:table altText="Transportation expense list" altTextSummary="List of expenses that correspond to the Transportation category."/>
    </ext>
  </extLst>
</table>
</file>

<file path=xl/tables/table23.xml><?xml version="1.0" encoding="utf-8"?>
<table xmlns="http://schemas.openxmlformats.org/spreadsheetml/2006/main" id="23" name="tblРасходыЗдоровье" displayName="tblРасходыЗдоровье" ref="H20:H25" totalsRowShown="0" headerRowDxfId="33" dataDxfId="32">
  <tableColumns count="1">
    <tableColumn id="1" name="Здоровье" dataDxfId="31"/>
  </tableColumns>
  <tableStyleInfo name="Setup Tables" showFirstColumn="0" showLastColumn="0" showRowStripes="1" showColumnStripes="0"/>
  <extLst>
    <ext xmlns:x14="http://schemas.microsoft.com/office/spreadsheetml/2009/9/main" uri="{504A1905-F514-4f6f-8877-14C23A59335A}">
      <x14:table altText="Health expense list" altTextSummary="List of expenses that correspond to the Health category."/>
    </ext>
  </extLst>
</table>
</file>

<file path=xl/tables/table24.xml><?xml version="1.0" encoding="utf-8"?>
<table xmlns="http://schemas.openxmlformats.org/spreadsheetml/2006/main" id="24" name="tblРасходыСтраховка" displayName="tblРасходыСтраховка" ref="J20:J25" totalsRowShown="0" headerRowDxfId="30" dataDxfId="29">
  <tableColumns count="1">
    <tableColumn id="1" name="Страховка" dataDxfId="28"/>
  </tableColumns>
  <tableStyleInfo name="Setup Tables" showFirstColumn="0" showLastColumn="0" showRowStripes="1" showColumnStripes="0"/>
  <extLst>
    <ext xmlns:x14="http://schemas.microsoft.com/office/spreadsheetml/2009/9/main" uri="{504A1905-F514-4f6f-8877-14C23A59335A}">
      <x14:table altText="Insurance expense list" altTextSummary="List of expenses that correspond to the Insurance category."/>
    </ext>
  </extLst>
</table>
</file>

<file path=xl/tables/table25.xml><?xml version="1.0" encoding="utf-8"?>
<table xmlns="http://schemas.openxmlformats.org/spreadsheetml/2006/main" id="25" name="tblРасходыОбразование" displayName="tblРасходыОбразование" ref="F29:F33" totalsRowShown="0" headerRowDxfId="27" dataDxfId="26">
  <tableColumns count="1">
    <tableColumn id="1" name="Образование" dataDxfId="25"/>
  </tableColumns>
  <tableStyleInfo name="Setup Tables" showFirstColumn="0" showLastColumn="0" showRowStripes="1" showColumnStripes="0"/>
  <extLst>
    <ext xmlns:x14="http://schemas.microsoft.com/office/spreadsheetml/2009/9/main" uri="{504A1905-F514-4f6f-8877-14C23A59335A}">
      <x14:table altText="Education expense list" altTextSummary="List of expenses that correspond to the Education category."/>
    </ext>
  </extLst>
</table>
</file>

<file path=xl/tables/table26.xml><?xml version="1.0" encoding="utf-8"?>
<table xmlns="http://schemas.openxmlformats.org/spreadsheetml/2006/main" id="26" name="tblРасходыБлаготворительность" displayName="tblРасходыБлаготворительность" ref="H29:H33" totalsRowShown="0" headerRowDxfId="24" dataDxfId="23">
  <tableColumns count="1">
    <tableColumn id="1" name="Благотворительность" dataDxfId="22"/>
  </tableColumns>
  <tableStyleInfo name="Setup Tables" showFirstColumn="0" showLastColumn="0" showRowStripes="1" showColumnStripes="0"/>
  <extLst>
    <ext xmlns:x14="http://schemas.microsoft.com/office/spreadsheetml/2009/9/main" uri="{504A1905-F514-4f6f-8877-14C23A59335A}">
      <x14:table altText="Charity expense list" altTextSummary="List of expenses that correspond to the Charity category."/>
    </ext>
  </extLst>
</table>
</file>

<file path=xl/tables/table27.xml><?xml version="1.0" encoding="utf-8"?>
<table xmlns="http://schemas.openxmlformats.org/spreadsheetml/2006/main" id="27" name="tblРасходыСбережения" displayName="tblРасходыСбережения" ref="J29:J35" totalsRowShown="0" headerRowDxfId="21" dataDxfId="20">
  <tableColumns count="1">
    <tableColumn id="1" name="Сбережения" dataDxfId="19"/>
  </tableColumns>
  <tableStyleInfo name="Setup Tables" showFirstColumn="0" showLastColumn="0" showRowStripes="1" showColumnStripes="0"/>
  <extLst>
    <ext xmlns:x14="http://schemas.microsoft.com/office/spreadsheetml/2009/9/main" uri="{504A1905-F514-4f6f-8877-14C23A59335A}">
      <x14:table altText="Savings expense list" altTextSummary="List of expenses that correspond to the Savings category."/>
    </ext>
  </extLst>
</table>
</file>

<file path=xl/tables/table28.xml><?xml version="1.0" encoding="utf-8"?>
<table xmlns="http://schemas.openxmlformats.org/spreadsheetml/2006/main" id="28" name="tblРасходыВыплаты" displayName="tblРасходыВыплаты" ref="F38:F50" totalsRowShown="0" headerRowDxfId="18" dataDxfId="17">
  <tableColumns count="1">
    <tableColumn id="1" name="Выплаты" dataDxfId="16"/>
  </tableColumns>
  <tableStyleInfo name="Setup Tables" showFirstColumn="0" showLastColumn="0" showRowStripes="1" showColumnStripes="0"/>
  <extLst>
    <ext xmlns:x14="http://schemas.microsoft.com/office/spreadsheetml/2009/9/main" uri="{504A1905-F514-4f6f-8877-14C23A59335A}">
      <x14:table altText="Obligations expense category" altTextSummary="List of expenses that correspond to the Obligations category."/>
    </ext>
  </extLst>
</table>
</file>

<file path=xl/tables/table29.xml><?xml version="1.0" encoding="utf-8"?>
<table xmlns="http://schemas.openxmlformats.org/spreadsheetml/2006/main" id="29" name="tblРасходыPазвлечения" displayName="tblРасходыPазвлечения" ref="H38:H51" totalsRowShown="0" headerRowDxfId="15" dataDxfId="14">
  <tableColumns count="1">
    <tableColumn id="1" name="Развлечения" dataDxfId="13"/>
  </tableColumns>
  <tableStyleInfo name="Setup Tables" showFirstColumn="0" showLastColumn="0" showRowStripes="1" showColumnStripes="0"/>
  <extLst>
    <ext xmlns:x14="http://schemas.microsoft.com/office/spreadsheetml/2009/9/main" uri="{504A1905-F514-4f6f-8877-14C23A59335A}">
      <x14:table altText="Entertainment expense list" altTextSummary="List of expenses that correspond to the Entertainment category."/>
    </ext>
  </extLst>
</table>
</file>

<file path=xl/tables/table30.xml><?xml version="1.0" encoding="utf-8"?>
<table xmlns="http://schemas.openxmlformats.org/spreadsheetml/2006/main" id="30" name="tblРасходыДомЖивотные" displayName="tblРасходыДомЖивотные" ref="J38:J42" totalsRowShown="0" headerRowDxfId="12" dataDxfId="11">
  <tableColumns count="1">
    <tableColumn id="1" name="Домашние животные" dataDxfId="10"/>
  </tableColumns>
  <tableStyleInfo name="Setup Tables" showFirstColumn="0" showLastColumn="0" showRowStripes="1" showColumnStripes="0"/>
  <extLst>
    <ext xmlns:x14="http://schemas.microsoft.com/office/spreadsheetml/2009/9/main" uri="{504A1905-F514-4f6f-8877-14C23A59335A}">
      <x14:table altText="Pets expense list" altTextSummary="List of expenses that correspond to the Pets category."/>
    </ext>
  </extLst>
</table>
</file>

<file path=xl/tables/table31.xml><?xml version="1.0" encoding="utf-8"?>
<table xmlns="http://schemas.openxmlformats.org/spreadsheetml/2006/main" id="31" name="tblРасходыПодписки" displayName="tblРасходыПодписки" ref="F53:F58" totalsRowShown="0" headerRowDxfId="9" dataDxfId="8">
  <tableColumns count="1">
    <tableColumn id="1" name="Подписки" dataDxfId="7"/>
  </tableColumns>
  <tableStyleInfo name="Setup Tables" showFirstColumn="0" showLastColumn="0" showRowStripes="1" showColumnStripes="0"/>
  <extLst>
    <ext xmlns:x14="http://schemas.microsoft.com/office/spreadsheetml/2009/9/main" uri="{504A1905-F514-4f6f-8877-14C23A59335A}">
      <x14:table altText="Subscriptions expense list" altTextSummary="List of expenses that correspond to the Subscriptions category."/>
    </ext>
  </extLst>
</table>
</file>

<file path=xl/tables/table32.xml><?xml version="1.0" encoding="utf-8"?>
<table xmlns="http://schemas.openxmlformats.org/spreadsheetml/2006/main" id="32" name="tblРасходыОтдых" displayName="tblРасходыОтдых" ref="H53:H59" totalsRowShown="0" headerRowDxfId="6" dataDxfId="5">
  <tableColumns count="1">
    <tableColumn id="1" name="Отдых" dataDxfId="4"/>
  </tableColumns>
  <tableStyleInfo name="Setup Tables" showFirstColumn="0" showLastColumn="0" showRowStripes="1" showColumnStripes="0"/>
  <extLst>
    <ext xmlns:x14="http://schemas.microsoft.com/office/spreadsheetml/2009/9/main" uri="{504A1905-F514-4f6f-8877-14C23A59335A}">
      <x14:table altText="Vacation expense list" altTextSummary="List of expenses that correspond to the Vacation category."/>
    </ext>
  </extLst>
</table>
</file>

<file path=xl/tables/table33.xml><?xml version="1.0" encoding="utf-8"?>
<table xmlns="http://schemas.openxmlformats.org/spreadsheetml/2006/main" id="33" name="tblРасходыРазное" displayName="tblРасходыРазное" ref="J53:J56" totalsRowShown="0" headerRowDxfId="3" dataDxfId="2">
  <tableColumns count="1">
    <tableColumn id="1" name="Разное" dataDxfId="1"/>
  </tableColumns>
  <tableStyleInfo name="Setup Tables" showFirstColumn="0" showLastColumn="0" showRowStripes="1" showColumnStripes="0"/>
  <extLst>
    <ext xmlns:x14="http://schemas.microsoft.com/office/spreadsheetml/2009/9/main" uri="{504A1905-F514-4f6f-8877-14C23A59335A}">
      <x14:table altText="Miscellaneous expense list" altTextSummary="List of expenses that correspond to the Miscellaneous category."/>
    </ext>
  </extLst>
</table>
</file>

<file path=xl/tables/table34.xml><?xml version="1.0" encoding="utf-8"?>
<table xmlns="http://schemas.openxmlformats.org/spreadsheetml/2006/main" id="34" name="tblДоходыПодстановка" displayName="tblДоходыПодстановка" ref="B2:B9" totalsRowShown="0" headerRowDxfId="0">
  <tableColumns count="1">
    <tableColumn id="1" name="Доходы"/>
  </tableColumns>
  <tableStyleInfo name="Other Custom Table Style" showFirstColumn="0" showLastColumn="0" showRowStripes="1" showColumnStripes="0"/>
  <extLst>
    <ext xmlns:x14="http://schemas.microsoft.com/office/spreadsheetml/2009/9/main" uri="{504A1905-F514-4f6f-8877-14C23A59335A}">
      <x14:table altText="Income categories" altTextSummary="List of Income categories for Income table on the Budget sheet."/>
    </ext>
  </extLst>
</table>
</file>

<file path=xl/theme/theme1.xml><?xml version="1.0" encoding="utf-8"?>
<a:theme xmlns:a="http://schemas.openxmlformats.org/drawingml/2006/main" name="Office Theme">
  <a:themeElements>
    <a:clrScheme name="Generic Family Budget">
      <a:dk1>
        <a:sysClr val="windowText" lastClr="000000"/>
      </a:dk1>
      <a:lt1>
        <a:sysClr val="window" lastClr="FFFFFF"/>
      </a:lt1>
      <a:dk2>
        <a:srgbClr val="584232"/>
      </a:dk2>
      <a:lt2>
        <a:srgbClr val="E7EBEC"/>
      </a:lt2>
      <a:accent1>
        <a:srgbClr val="8A9FA1"/>
      </a:accent1>
      <a:accent2>
        <a:srgbClr val="FF3939"/>
      </a:accent2>
      <a:accent3>
        <a:srgbClr val="93A251"/>
      </a:accent3>
      <a:accent4>
        <a:srgbClr val="70607F"/>
      </a:accent4>
      <a:accent5>
        <a:srgbClr val="D9BD32"/>
      </a:accent5>
      <a:accent6>
        <a:srgbClr val="5679A2"/>
      </a:accent6>
      <a:hlink>
        <a:srgbClr val="5679A2"/>
      </a:hlink>
      <a:folHlink>
        <a:srgbClr val="70607F"/>
      </a:folHlink>
    </a:clrScheme>
    <a:fontScheme name="Generic Family Budget">
      <a:majorFont>
        <a:latin typeface="Euphemia"/>
        <a:ea typeface=""/>
        <a:cs typeface=""/>
      </a:majorFont>
      <a:minorFont>
        <a:latin typeface="Century Gothic"/>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3"/>
        </a:solidFill>
        <a:ln>
          <a:noFill/>
        </a:ln>
      </a:spPr>
      <a:bodyPr vertOverflow="clip" horzOverflow="clip" rtlCol="0" anchor="ctr"/>
      <a:lstStyle>
        <a:defPPr algn="l">
          <a:defRPr sz="9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1.xml"/><Relationship Id="rId4" Type="http://schemas.openxmlformats.org/officeDocument/2006/relationships/image" Target="../media/image1.png"/></Relationships>
</file>

<file path=xl/worksheets/_rels/sheet2.xml.rels><?xml version="1.0" encoding="UTF-8" standalone="yes"?>
<Relationships xmlns="http://schemas.openxmlformats.org/package/2006/relationships"><Relationship Id="rId8" Type="http://schemas.openxmlformats.org/officeDocument/2006/relationships/table" Target="../tables/table5.xml"/><Relationship Id="rId13" Type="http://schemas.openxmlformats.org/officeDocument/2006/relationships/table" Target="../tables/table10.xml"/><Relationship Id="rId18" Type="http://schemas.openxmlformats.org/officeDocument/2006/relationships/table" Target="../tables/table15.xml"/><Relationship Id="rId3" Type="http://schemas.openxmlformats.org/officeDocument/2006/relationships/image" Target="../media/image1.png"/><Relationship Id="rId7" Type="http://schemas.openxmlformats.org/officeDocument/2006/relationships/table" Target="../tables/table4.xml"/><Relationship Id="rId12" Type="http://schemas.openxmlformats.org/officeDocument/2006/relationships/table" Target="../tables/table9.xml"/><Relationship Id="rId17" Type="http://schemas.openxmlformats.org/officeDocument/2006/relationships/table" Target="../tables/table14.xml"/><Relationship Id="rId2" Type="http://schemas.openxmlformats.org/officeDocument/2006/relationships/drawing" Target="../drawings/drawing2.xml"/><Relationship Id="rId16" Type="http://schemas.openxmlformats.org/officeDocument/2006/relationships/table" Target="../tables/table13.xml"/><Relationship Id="rId20" Type="http://schemas.openxmlformats.org/officeDocument/2006/relationships/table" Target="../tables/table17.xml"/><Relationship Id="rId1" Type="http://schemas.openxmlformats.org/officeDocument/2006/relationships/printerSettings" Target="../printerSettings/printerSettings2.bin"/><Relationship Id="rId6" Type="http://schemas.openxmlformats.org/officeDocument/2006/relationships/table" Target="../tables/table3.xml"/><Relationship Id="rId11" Type="http://schemas.openxmlformats.org/officeDocument/2006/relationships/table" Target="../tables/table8.xml"/><Relationship Id="rId5" Type="http://schemas.openxmlformats.org/officeDocument/2006/relationships/table" Target="../tables/table2.xml"/><Relationship Id="rId15" Type="http://schemas.openxmlformats.org/officeDocument/2006/relationships/table" Target="../tables/table12.xml"/><Relationship Id="rId10" Type="http://schemas.openxmlformats.org/officeDocument/2006/relationships/table" Target="../tables/table7.xml"/><Relationship Id="rId19" Type="http://schemas.openxmlformats.org/officeDocument/2006/relationships/table" Target="../tables/table16.xml"/><Relationship Id="rId4" Type="http://schemas.openxmlformats.org/officeDocument/2006/relationships/table" Target="../tables/table1.xml"/><Relationship Id="rId9" Type="http://schemas.openxmlformats.org/officeDocument/2006/relationships/table" Target="../tables/table6.xml"/><Relationship Id="rId14" Type="http://schemas.openxmlformats.org/officeDocument/2006/relationships/table" Target="../tables/table1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image" Target="../media/image1.png"/><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drawing" Target="../drawings/drawing3.xml"/><Relationship Id="rId16" Type="http://schemas.openxmlformats.org/officeDocument/2006/relationships/table" Target="../tables/table30.xml"/><Relationship Id="rId20" Type="http://schemas.openxmlformats.org/officeDocument/2006/relationships/table" Target="../tables/table34.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19" Type="http://schemas.openxmlformats.org/officeDocument/2006/relationships/table" Target="../tables/table33.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theme="5"/>
    <pageSetUpPr autoPageBreaks="0" fitToPage="1"/>
  </sheetPr>
  <dimension ref="A1:O276"/>
  <sheetViews>
    <sheetView showGridLines="0" tabSelected="1" zoomScaleNormal="100" workbookViewId="0"/>
  </sheetViews>
  <sheetFormatPr defaultColWidth="0" defaultRowHeight="14.25" zeroHeight="1"/>
  <cols>
    <col min="1" max="1" width="7.5703125" style="4" customWidth="1"/>
    <col min="2" max="2" width="11.5703125" style="4" customWidth="1"/>
    <col min="3" max="3" width="10.85546875" style="4" customWidth="1"/>
    <col min="4" max="4" width="12.5703125" style="4" customWidth="1"/>
    <col min="5" max="5" width="13" style="4" customWidth="1"/>
    <col min="6" max="6" width="10.5703125" style="4" customWidth="1"/>
    <col min="7" max="7" width="7.7109375" style="4" customWidth="1"/>
    <col min="8" max="14" width="9.140625" style="4" customWidth="1"/>
    <col min="15" max="15" width="6.85546875" style="4" customWidth="1"/>
    <col min="16" max="16384" width="10.28515625" style="4" hidden="1"/>
  </cols>
  <sheetData>
    <row r="1" spans="1:15" s="8" customFormat="1" ht="34.5" customHeight="1">
      <c r="J1" s="7"/>
      <c r="N1" s="24" t="str">
        <f>"ИНТЕРАКТИВНЫЙ БЮДЖЕТ "&amp;НазваниеБюджета</f>
        <v>ИНТЕРАКТИВНЫЙ БЮДЖЕТ СЕМЬЯ ЕГОРОВЫХ, 2012 год</v>
      </c>
    </row>
    <row r="2" spans="1:15">
      <c r="A2" s="2"/>
      <c r="B2" s="2"/>
      <c r="C2" s="2"/>
      <c r="D2" s="2"/>
      <c r="E2" s="2"/>
      <c r="F2" s="2"/>
      <c r="G2" s="2"/>
      <c r="H2" s="2"/>
      <c r="I2" s="2"/>
      <c r="J2" s="2"/>
      <c r="K2" s="2"/>
      <c r="L2" s="2"/>
      <c r="M2" s="2"/>
      <c r="N2" s="2"/>
      <c r="O2" s="2"/>
    </row>
    <row r="3" spans="1:15">
      <c r="A3" s="37">
        <f>'Данные диаграммы'!C38</f>
        <v>4000</v>
      </c>
      <c r="B3" s="37"/>
      <c r="C3" s="37"/>
      <c r="D3" s="2"/>
      <c r="E3" s="2"/>
      <c r="F3" s="2"/>
      <c r="G3" s="2"/>
      <c r="H3" s="2"/>
      <c r="I3" s="2"/>
      <c r="J3" s="2"/>
      <c r="K3" s="2"/>
      <c r="L3" s="2"/>
      <c r="M3" s="2"/>
      <c r="N3" s="2"/>
      <c r="O3" s="2"/>
    </row>
    <row r="4" spans="1:15">
      <c r="A4" s="37"/>
      <c r="B4" s="37"/>
      <c r="C4" s="37"/>
      <c r="D4" s="2"/>
      <c r="E4" s="2"/>
      <c r="F4" s="2"/>
      <c r="G4" s="2"/>
      <c r="H4" s="2"/>
      <c r="I4" s="2"/>
      <c r="J4" s="2"/>
      <c r="K4" s="2"/>
      <c r="L4" s="2"/>
      <c r="M4" s="2"/>
      <c r="N4" s="2"/>
      <c r="O4" s="2"/>
    </row>
    <row r="5" spans="1:15" ht="19.5">
      <c r="A5" s="37"/>
      <c r="B5" s="37"/>
      <c r="C5" s="37"/>
      <c r="D5" s="9" t="s">
        <v>1</v>
      </c>
      <c r="E5" s="2"/>
      <c r="F5" s="2"/>
      <c r="G5" s="2"/>
      <c r="H5" s="2"/>
      <c r="I5" s="2"/>
      <c r="J5" s="2"/>
      <c r="K5" s="2"/>
      <c r="L5" s="2"/>
      <c r="M5" s="2"/>
      <c r="N5" s="2"/>
      <c r="O5" s="2"/>
    </row>
    <row r="6" spans="1:15">
      <c r="A6" s="2"/>
      <c r="B6" s="2"/>
      <c r="C6" s="2"/>
      <c r="D6" s="2"/>
      <c r="E6" s="2"/>
      <c r="F6" s="2"/>
      <c r="G6" s="2"/>
      <c r="H6" s="2"/>
      <c r="I6" s="2"/>
      <c r="J6" s="2"/>
      <c r="K6" s="2"/>
      <c r="L6" s="2"/>
      <c r="M6" s="2"/>
      <c r="N6" s="2"/>
      <c r="O6" s="2"/>
    </row>
    <row r="7" spans="1:15">
      <c r="A7" s="37">
        <f>'Данные диаграммы'!C39</f>
        <v>5933</v>
      </c>
      <c r="B7" s="37"/>
      <c r="C7" s="37"/>
      <c r="D7" s="2"/>
      <c r="E7" s="2"/>
      <c r="F7" s="2"/>
      <c r="G7" s="2"/>
      <c r="H7" s="2"/>
      <c r="I7" s="2"/>
      <c r="J7" s="2"/>
      <c r="K7" s="2"/>
      <c r="L7" s="2"/>
      <c r="M7" s="2"/>
      <c r="N7" s="2"/>
      <c r="O7" s="2"/>
    </row>
    <row r="8" spans="1:15">
      <c r="A8" s="37"/>
      <c r="B8" s="37"/>
      <c r="C8" s="37"/>
      <c r="D8" s="2"/>
      <c r="E8" s="2"/>
      <c r="F8" s="2"/>
      <c r="G8" s="2"/>
      <c r="H8" s="2"/>
      <c r="I8" s="2"/>
      <c r="J8" s="2"/>
      <c r="K8" s="2"/>
      <c r="L8" s="2"/>
      <c r="M8" s="2"/>
      <c r="N8" s="2"/>
      <c r="O8" s="2"/>
    </row>
    <row r="9" spans="1:15" ht="19.5">
      <c r="A9" s="37"/>
      <c r="B9" s="37"/>
      <c r="C9" s="37"/>
      <c r="D9" s="9" t="s">
        <v>10</v>
      </c>
      <c r="E9" s="2"/>
      <c r="F9" s="2"/>
      <c r="G9" s="2"/>
      <c r="H9" s="2"/>
      <c r="I9" s="2"/>
      <c r="J9" s="2"/>
      <c r="K9" s="2"/>
      <c r="L9" s="2"/>
      <c r="M9" s="2"/>
      <c r="N9" s="2"/>
      <c r="O9" s="2"/>
    </row>
    <row r="10" spans="1:15">
      <c r="A10" s="2"/>
      <c r="B10" s="2"/>
      <c r="C10" s="2"/>
      <c r="D10" s="2"/>
      <c r="E10" s="2"/>
      <c r="F10" s="2"/>
      <c r="G10" s="2"/>
      <c r="H10" s="2"/>
      <c r="I10" s="2"/>
      <c r="J10" s="2"/>
      <c r="K10" s="2"/>
      <c r="L10" s="2"/>
      <c r="M10" s="2"/>
      <c r="N10" s="2"/>
      <c r="O10" s="2"/>
    </row>
    <row r="11" spans="1:15">
      <c r="A11" s="38" t="str">
        <f>'Данные диаграммы'!D40&amp;'Данные диаграммы'!C40&amp; "р."</f>
        <v>-1933р.</v>
      </c>
      <c r="B11" s="38"/>
      <c r="C11" s="38"/>
      <c r="D11" s="2"/>
      <c r="E11" s="2"/>
      <c r="F11" s="2"/>
      <c r="G11" s="2"/>
      <c r="H11" s="2"/>
      <c r="I11" s="2"/>
      <c r="J11" s="2"/>
      <c r="K11" s="2"/>
      <c r="L11" s="2"/>
      <c r="M11" s="2"/>
      <c r="N11" s="2"/>
      <c r="O11" s="2"/>
    </row>
    <row r="12" spans="1:15">
      <c r="A12" s="38"/>
      <c r="B12" s="38"/>
      <c r="C12" s="38"/>
      <c r="D12" s="2"/>
      <c r="E12" s="2"/>
      <c r="F12" s="2"/>
      <c r="G12" s="2"/>
      <c r="H12" s="2"/>
      <c r="I12" s="2"/>
      <c r="J12" s="2"/>
      <c r="K12" s="2"/>
      <c r="L12" s="2"/>
      <c r="M12" s="2"/>
      <c r="N12" s="2"/>
      <c r="O12" s="2"/>
    </row>
    <row r="13" spans="1:15" ht="19.5">
      <c r="A13" s="38"/>
      <c r="B13" s="38"/>
      <c r="C13" s="38"/>
      <c r="D13" s="9" t="s">
        <v>125</v>
      </c>
      <c r="E13" s="2"/>
      <c r="F13" s="2"/>
      <c r="G13" s="2"/>
      <c r="H13" s="2"/>
      <c r="I13" s="2"/>
      <c r="J13" s="2"/>
      <c r="K13" s="2"/>
      <c r="L13" s="2"/>
      <c r="M13" s="2"/>
      <c r="N13" s="2"/>
      <c r="O13" s="2"/>
    </row>
    <row r="14" spans="1:15">
      <c r="A14" s="2"/>
      <c r="B14" s="2"/>
      <c r="C14" s="2"/>
      <c r="D14" s="2"/>
      <c r="E14" s="2"/>
      <c r="F14" s="2"/>
      <c r="G14" s="2"/>
      <c r="H14" s="2"/>
      <c r="I14" s="2"/>
      <c r="J14" s="2"/>
      <c r="K14" s="2"/>
      <c r="L14" s="2"/>
      <c r="M14" s="2"/>
      <c r="N14" s="2"/>
      <c r="O14" s="2"/>
    </row>
    <row r="15" spans="1:15">
      <c r="A15" s="2"/>
      <c r="B15" s="2"/>
      <c r="C15" s="2"/>
      <c r="D15" s="2"/>
      <c r="E15" s="2"/>
      <c r="F15" s="2"/>
      <c r="G15" s="2"/>
      <c r="H15" s="2"/>
      <c r="I15" s="2"/>
      <c r="J15" s="2"/>
      <c r="K15" s="2"/>
      <c r="L15" s="2"/>
      <c r="M15" s="2"/>
      <c r="N15" s="2"/>
      <c r="O15" s="2"/>
    </row>
    <row r="16" spans="1:15">
      <c r="A16" s="2"/>
      <c r="B16" s="2"/>
      <c r="C16" s="2"/>
      <c r="D16" s="2"/>
      <c r="E16" s="2"/>
      <c r="F16" s="2"/>
      <c r="G16" s="2"/>
      <c r="H16" s="2"/>
      <c r="I16" s="2"/>
      <c r="J16" s="2"/>
      <c r="K16" s="2"/>
      <c r="L16" s="2"/>
      <c r="M16" s="2"/>
      <c r="N16" s="2"/>
      <c r="O16" s="2"/>
    </row>
    <row r="17" spans="1:15">
      <c r="A17" s="2"/>
      <c r="B17" s="2"/>
      <c r="C17" s="2"/>
      <c r="D17" s="2"/>
      <c r="E17" s="2"/>
      <c r="F17" s="2"/>
      <c r="G17" s="2"/>
      <c r="H17" s="2"/>
      <c r="I17" s="2"/>
      <c r="J17" s="2"/>
      <c r="K17" s="2"/>
      <c r="L17" s="2"/>
      <c r="M17" s="2"/>
      <c r="N17" s="2"/>
      <c r="O17" s="2"/>
    </row>
    <row r="18" spans="1:15" s="5" customFormat="1"/>
    <row r="19" spans="1:15" s="5" customFormat="1"/>
    <row r="20" spans="1:15" s="5" customFormat="1"/>
    <row r="21" spans="1:15" s="5" customFormat="1"/>
    <row r="22" spans="1:15" s="5" customFormat="1"/>
    <row r="23" spans="1:15" s="5" customFormat="1"/>
    <row r="24" spans="1:15" s="5" customFormat="1"/>
    <row r="25" spans="1:15" s="6" customFormat="1" ht="15.75" customHeight="1"/>
    <row r="26" spans="1:15" hidden="1"/>
    <row r="27" spans="1:15" hidden="1"/>
    <row r="28" spans="1:15" hidden="1"/>
    <row r="29" spans="1:15" hidden="1"/>
    <row r="30" spans="1:15" hidden="1"/>
    <row r="31" spans="1:15" hidden="1"/>
    <row r="32" spans="1:15"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t="0.75" hidden="1" customHeight="1"/>
  </sheetData>
  <sheetProtection selectLockedCells="1"/>
  <mergeCells count="3">
    <mergeCell ref="A3:C5"/>
    <mergeCell ref="A7:C9"/>
    <mergeCell ref="A11:C13"/>
  </mergeCells>
  <printOptions horizontalCentered="1"/>
  <pageMargins left="0.5" right="0.5" top="0.5" bottom="0.5" header="0" footer="0"/>
  <pageSetup paperSize="9" orientation="landscape" r:id="rId1"/>
  <drawing r:id="rId2"/>
  <legacyDrawing r:id="rId3"/>
  <picture r:id="rId4"/>
  <mc:AlternateContent xmlns:mc="http://schemas.openxmlformats.org/markup-compatibility/2006">
    <mc:Choice Requires="x14">
      <controls>
        <mc:AlternateContent xmlns:mc="http://schemas.openxmlformats.org/markup-compatibility/2006">
          <mc:Choice Requires="x14">
            <control shapeId="4098" r:id="rId5" name="Прокрутка месяца">
              <controlPr defaultSize="0" print="0" autoPict="0" altText="Click to cycle the Сведения о расходах by month">
                <anchor moveWithCells="1" sizeWithCells="1">
                  <from>
                    <xdr:col>0</xdr:col>
                    <xdr:colOff>0</xdr:colOff>
                    <xdr:row>24</xdr:row>
                    <xdr:rowOff>0</xdr:rowOff>
                  </from>
                  <to>
                    <xdr:col>16383</xdr:col>
                    <xdr:colOff>0</xdr:colOff>
                    <xdr:row>1048575</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4"/>
    <pageSetUpPr autoPageBreaks="0" fitToPage="1"/>
  </sheetPr>
  <dimension ref="A1:P131"/>
  <sheetViews>
    <sheetView showGridLines="0" zoomScaleNormal="100" workbookViewId="0">
      <pane ySplit="3" topLeftCell="A4" activePane="bottomLeft" state="frozen"/>
      <selection activeCell="B1" sqref="B1"/>
      <selection pane="bottomLeft"/>
    </sheetView>
  </sheetViews>
  <sheetFormatPr defaultRowHeight="16.5" customHeight="1"/>
  <cols>
    <col min="1" max="1" width="1.85546875" customWidth="1"/>
    <col min="2" max="2" width="46.85546875" bestFit="1" customWidth="1"/>
    <col min="3" max="14" width="9.5703125" customWidth="1"/>
    <col min="15" max="16" width="9.5703125" style="28" customWidth="1"/>
    <col min="17" max="17" width="0.7109375" customWidth="1"/>
    <col min="18" max="18" width="9.140625" customWidth="1"/>
    <col min="19" max="19" width="11" customWidth="1"/>
    <col min="20" max="20" width="10.85546875" customWidth="1"/>
  </cols>
  <sheetData>
    <row r="1" spans="1:16" ht="34.5" customHeight="1">
      <c r="A1" s="5"/>
      <c r="B1" s="5"/>
      <c r="C1" s="12" t="s">
        <v>106</v>
      </c>
      <c r="D1" s="12" t="s">
        <v>107</v>
      </c>
      <c r="E1" s="12" t="s">
        <v>108</v>
      </c>
      <c r="F1" s="12" t="s">
        <v>109</v>
      </c>
      <c r="G1" s="12" t="s">
        <v>110</v>
      </c>
      <c r="H1" s="12" t="s">
        <v>111</v>
      </c>
      <c r="I1" s="12" t="s">
        <v>112</v>
      </c>
      <c r="J1" s="12" t="s">
        <v>113</v>
      </c>
      <c r="K1" s="12" t="s">
        <v>114</v>
      </c>
      <c r="L1" s="12" t="s">
        <v>114</v>
      </c>
      <c r="M1" s="12" t="s">
        <v>115</v>
      </c>
      <c r="N1" s="12" t="s">
        <v>116</v>
      </c>
      <c r="O1" s="11" t="s">
        <v>117</v>
      </c>
      <c r="P1" s="11" t="s">
        <v>118</v>
      </c>
    </row>
    <row r="2" spans="1:16" ht="16.5" customHeight="1">
      <c r="O2" s="27"/>
      <c r="P2" s="27"/>
    </row>
    <row r="5" spans="1:16" ht="16.5" customHeight="1">
      <c r="B5" s="34" t="s">
        <v>119</v>
      </c>
      <c r="C5" s="13">
        <v>1000</v>
      </c>
    </row>
    <row r="6" spans="1:16" ht="16.5" customHeight="1">
      <c r="B6" s="25" t="s">
        <v>120</v>
      </c>
      <c r="C6" s="26">
        <f>SUM(tblДоход[jan])</f>
        <v>4222</v>
      </c>
      <c r="D6" s="26">
        <f>SUM(tblДоход[feb])</f>
        <v>9033</v>
      </c>
      <c r="E6" s="26">
        <f>SUM(tblДоход[mar])</f>
        <v>4000</v>
      </c>
      <c r="F6" s="26">
        <f>SUM(tblДоход[apr])</f>
        <v>4045</v>
      </c>
      <c r="G6" s="26">
        <f>SUM(tblДоход[may])</f>
        <v>9000</v>
      </c>
      <c r="H6" s="26">
        <f>SUM(tblДоход[jun])</f>
        <v>1525</v>
      </c>
      <c r="I6" s="26">
        <f>SUM(tblДоход[jul])</f>
        <v>1500</v>
      </c>
      <c r="J6" s="26">
        <f>SUM(tblДоход[aug])</f>
        <v>6500</v>
      </c>
      <c r="K6" s="26">
        <f>SUM(tblДоход[sep])</f>
        <v>4000</v>
      </c>
      <c r="L6" s="26">
        <f>SUM(tblДоход[oct])</f>
        <v>4000</v>
      </c>
      <c r="M6" s="26">
        <f>SUM(tblДоход[nov])</f>
        <v>9000</v>
      </c>
      <c r="N6" s="26">
        <f>SUM(tblДоход[dec])</f>
        <v>4000</v>
      </c>
      <c r="O6" s="29">
        <f>SUM(tblДоход[year])</f>
        <v>60825</v>
      </c>
      <c r="P6" s="29">
        <f>O6/12</f>
        <v>5068.75</v>
      </c>
    </row>
    <row r="7" spans="1:16" ht="16.5" customHeight="1">
      <c r="B7" s="25" t="s">
        <v>121</v>
      </c>
      <c r="C7" s="26">
        <f>SUM(tblСтатьяРасходов_01[jan],tblСтатьяРасходов_02[jan],tblСтатьяРасходов_03[jan],tblСтатьяРасходов_04[jan],tblСтатьяРасходов_05[jan],tblСтатьяРасходов_06[jan],tblСтатьяРасходов_07[jan],tblСтатьяРасходов_08[jan],tblСтатьяРасходов_09[jan],tblСтатьяРасходов_10[jan],tblСтатьяРасходов_11[jan],tblСтатьяРасходов_12[jan],tblСтатьяРасходов_13[jan],tblСтатьяРасходов_14[jan],tblСтатьяРасходов_15[jan])</f>
        <v>7936</v>
      </c>
      <c r="D7" s="26">
        <f>SUM(tblСтатьяРасходов_01[feb],tblСтатьяРасходов_02[feb],tblСтатьяРасходов_03[feb],tblСтатьяРасходов_04[feb],tblСтатьяРасходов_05[feb],tblСтатьяРасходов_06[feb],tblСтатьяРасходов_07[feb],tblСтатьяРасходов_08[feb],tblСтатьяРасходов_09[feb],tblСтатьяРасходов_10[feb],tblСтатьяРасходов_11[feb],tblСтатьяРасходов_12[feb],tblСтатьяРасходов_13[feb],tblСтатьяРасходов_14[feb],tblСтатьяРасходов_15[feb])</f>
        <v>5243</v>
      </c>
      <c r="E7" s="26">
        <f>SUM(tblСтатьяРасходов_01[mar],tblСтатьяРасходов_02[mar],tblСтатьяРасходов_03[mar],tblСтатьяРасходов_04[mar],tblСтатьяРасходов_05[mar],tblСтатьяРасходов_06[mar],tblСтатьяРасходов_07[mar],tblСтатьяРасходов_08[mar],tblСтатьяРасходов_09[mar],tblСтатьяРасходов_10[mar],tblСтатьяРасходов_11[mar],tblСтатьяРасходов_12[mar],tblСтатьяРасходов_13[mar],tblСтатьяРасходов_14[mar],tblСтатьяРасходов_15[mar])</f>
        <v>5933</v>
      </c>
      <c r="F7" s="26">
        <f>SUM(tblСтатьяРасходов_01[apr],tblСтатьяРасходов_02[apr],tblСтатьяРасходов_03[apr],tblСтатьяРасходов_04[apr],tblСтатьяРасходов_05[apr],tblСтатьяРасходов_06[apr],tblСтатьяРасходов_07[apr],tblСтатьяРасходов_08[apr],tblСтатьяРасходов_09[apr],tblСтатьяРасходов_10[apr],tblСтатьяРасходов_11[apr],tblСтатьяРасходов_12[apr],tblСтатьяРасходов_13[apr],tblСтатьяРасходов_14[apr],tblСтатьяРасходов_15[apr])</f>
        <v>5858</v>
      </c>
      <c r="G7" s="26">
        <f>SUM(tblСтатьяРасходов_01[may],tblСтатьяРасходов_02[may],tblСтатьяРасходов_03[may],tblСтатьяРасходов_04[may],tblСтатьяРасходов_05[may],tblСтатьяРасходов_06[may],tblСтатьяРасходов_07[may],tblСтатьяРасходов_08[may],tblСтатьяРасходов_09[may],tblСтатьяРасходов_10[may],tblСтатьяРасходов_11[may],tblСтатьяРасходов_12[may],tblСтатьяРасходов_13[may],tblСтатьяРасходов_14[may],tblСтатьяРасходов_15[may])</f>
        <v>5468</v>
      </c>
      <c r="H7" s="26">
        <f>SUM(tblСтатьяРасходов_01[jun],tblСтатьяРасходов_02[jun],tblСтатьяРасходов_03[jun],tblСтатьяРасходов_04[jun],tblСтатьяРасходов_05[jun],tblСтатьяРасходов_06[jun],tblСтатьяРасходов_07[jun],tblСтатьяРасходов_08[jun],tblСтатьяРасходов_09[jun],tblСтатьяРасходов_10[jun],tblСтатьяРасходов_11[jun],tblСтатьяРасходов_12[jun],tblСтатьяРасходов_13[jun],tblСтатьяРасходов_14[jun],tblСтатьяРасходов_15[jun])</f>
        <v>5118</v>
      </c>
      <c r="I7" s="26">
        <f>SUM(tblСтатьяРасходов_01[jul],tblСтатьяРасходов_02[jul],tblСтатьяРасходов_03[jul],tblСтатьяРасходов_04[jul],tblСтатьяРасходов_05[jul],tblСтатьяРасходов_06[jul],tblСтатьяРасходов_07[jul],tblСтатьяРасходов_08[jul],tblСтатьяРасходов_09[jul],tblСтатьяРасходов_10[jul],tblСтатьяРасходов_11[jul],tblСтатьяРасходов_12[jul],tblСтатьяРасходов_13[jul],tblСтатьяРасходов_14[jul],tblСтатьяРасходов_15[jul])</f>
        <v>5743</v>
      </c>
      <c r="J7" s="26">
        <f>SUM(tblСтатьяРасходов_01[aug],tblСтатьяРасходов_02[aug],tblСтатьяРасходов_03[aug],tblСтатьяРасходов_04[aug],tblСтатьяРасходов_05[aug],tblСтатьяРасходов_06[aug],tblСтатьяРасходов_07[aug],tblСтатьяРасходов_08[aug],tblСтатьяРасходов_09[aug],tblСтатьяРасходов_10[aug],tblСтатьяРасходов_11[aug],tblСтатьяРасходов_12[aug],tblСтатьяРасходов_13[aug],tblСтатьяРасходов_14[aug],tblСтатьяРасходов_15[aug])</f>
        <v>5353</v>
      </c>
      <c r="K7" s="26">
        <f>SUM(tblСтатьяРасходов_01[sep],tblСтатьяРасходов_02[sep],tblСтатьяРасходов_03[sep],tblСтатьяРасходов_04[sep],tblСтатьяРасходов_05[sep],tblСтатьяРасходов_06[sep],tblСтатьяРасходов_07[sep],tblСтатьяРасходов_08[sep],tblСтатьяРасходов_09[sep],tblСтатьяРасходов_10[sep],tblСтатьяРасходов_11[sep],tblСтатьяРасходов_12[sep],tblСтатьяРасходов_13[sep],tblСтатьяРасходов_14[sep],tblСтатьяРасходов_15[sep])</f>
        <v>5983</v>
      </c>
      <c r="L7" s="26">
        <f>SUM(tblСтатьяРасходов_01[oct],tblСтатьяРасходов_02[oct],tblСтатьяРасходов_03[oct],tblСтатьяРасходов_04[oct],tblСтатьяРасходов_05[oct],tblСтатьяРасходов_06[oct],tblСтатьяРасходов_07[oct],tblСтатьяРасходов_08[oct],tblСтатьяРасходов_09[oct],tblСтатьяРасходов_10[oct],tblСтатьяРасходов_11[oct],tblСтатьяРасходов_12[oct],tblСтатьяРасходов_13[oct],tblСтатьяРасходов_14[oct],tblСтатьяРасходов_15[oct])</f>
        <v>5943</v>
      </c>
      <c r="M7" s="26">
        <f>SUM(tblСтатьяРасходов_01[nov],tblСтатьяРасходов_02[nov],tblСтатьяРасходов_03[nov],tblСтатьяРасходов_04[nov],tblСтатьяРасходов_05[nov],tblСтатьяРасходов_06[nov],tblСтатьяРасходов_07[nov],tblСтатьяРасходов_08[nov],tblСтатьяРасходов_09[nov],tblСтатьяРасходов_10[nov],tblСтатьяРасходов_11[nov],tblСтатьяРасходов_12[nov],tblСтатьяРасходов_13[nov],tblСтатьяРасходов_14[nov],tblСтатьяРасходов_15[nov])</f>
        <v>5058</v>
      </c>
      <c r="N7" s="26">
        <f>SUM(tblСтатьяРасходов_01[dec],tblСтатьяРасходов_02[dec],tblСтатьяРасходов_03[dec],tblСтатьяРасходов_04[dec],tblСтатьяРасходов_05[dec],tblСтатьяРасходов_06[dec],tblСтатьяРасходов_07[dec],tblСтатьяРасходов_08[dec],tblСтатьяРасходов_09[dec],tblСтатьяРасходов_10[dec],tblСтатьяРасходов_11[dec],tblСтатьяРасходов_12[dec],tblСтатьяРасходов_13[dec],tblСтатьяРасходов_14[dec],tblСтатьяРасходов_15[dec])</f>
        <v>4958</v>
      </c>
      <c r="O7" s="29">
        <f>SUM(tblСтатьяРасходов_01[year],tblСтатьяРасходов_02[year],tblСтатьяРасходов_03[year],tblСтатьяРасходов_04[year],tblСтатьяРасходов_05[year],tblСтатьяРасходов_06[year],tblСтатьяРасходов_07[year],tblСтатьяРасходов_08[year],tblСтатьяРасходов_09[year],tblСтатьяРасходов_10[year],tblСтатьяРасходов_11[year],tblСтатьяРасходов_12[year],tblСтатьяРасходов_13[year],tblСтатьяРасходов_14[year],tblСтатьяРасходов_15[year])</f>
        <v>68594</v>
      </c>
      <c r="P7" s="29">
        <f>O7/12</f>
        <v>5716.166666666667</v>
      </c>
    </row>
    <row r="8" spans="1:16" ht="16.5" customHeight="1">
      <c r="B8" s="25" t="s">
        <v>122</v>
      </c>
      <c r="C8" s="26">
        <f>C6-C7</f>
        <v>-3714</v>
      </c>
      <c r="D8" s="26">
        <f t="shared" ref="D8:O8" si="0">D6-D7</f>
        <v>3790</v>
      </c>
      <c r="E8" s="26">
        <f t="shared" si="0"/>
        <v>-1933</v>
      </c>
      <c r="F8" s="26">
        <f t="shared" si="0"/>
        <v>-1813</v>
      </c>
      <c r="G8" s="26">
        <f t="shared" si="0"/>
        <v>3532</v>
      </c>
      <c r="H8" s="26">
        <f t="shared" si="0"/>
        <v>-3593</v>
      </c>
      <c r="I8" s="26">
        <f t="shared" si="0"/>
        <v>-4243</v>
      </c>
      <c r="J8" s="26">
        <f t="shared" si="0"/>
        <v>1147</v>
      </c>
      <c r="K8" s="26">
        <f t="shared" si="0"/>
        <v>-1983</v>
      </c>
      <c r="L8" s="26">
        <f t="shared" si="0"/>
        <v>-1943</v>
      </c>
      <c r="M8" s="26">
        <f t="shared" si="0"/>
        <v>3942</v>
      </c>
      <c r="N8" s="26">
        <f t="shared" si="0"/>
        <v>-958</v>
      </c>
      <c r="O8" s="29">
        <f t="shared" si="0"/>
        <v>-7769</v>
      </c>
      <c r="P8" s="29">
        <f>O8/12</f>
        <v>-647.41666666666663</v>
      </c>
    </row>
    <row r="9" spans="1:16" ht="16.5" customHeight="1">
      <c r="B9" s="25" t="s">
        <v>123</v>
      </c>
      <c r="C9" s="26">
        <f>C5+C6-C7</f>
        <v>-2714</v>
      </c>
      <c r="D9" s="26">
        <f>C9+D6-D7</f>
        <v>1076</v>
      </c>
      <c r="E9" s="26">
        <f t="shared" ref="E9:N9" si="1">D9+E6-E7</f>
        <v>-857</v>
      </c>
      <c r="F9" s="26">
        <f t="shared" si="1"/>
        <v>-2670</v>
      </c>
      <c r="G9" s="26">
        <f t="shared" si="1"/>
        <v>862</v>
      </c>
      <c r="H9" s="26">
        <f t="shared" si="1"/>
        <v>-2731</v>
      </c>
      <c r="I9" s="26">
        <f t="shared" si="1"/>
        <v>-6974</v>
      </c>
      <c r="J9" s="26">
        <f t="shared" si="1"/>
        <v>-5827</v>
      </c>
      <c r="K9" s="26">
        <f t="shared" si="1"/>
        <v>-7810</v>
      </c>
      <c r="L9" s="26">
        <f t="shared" si="1"/>
        <v>-9753</v>
      </c>
      <c r="M9" s="26">
        <f t="shared" si="1"/>
        <v>-5811</v>
      </c>
      <c r="N9" s="26">
        <f t="shared" si="1"/>
        <v>-6769</v>
      </c>
      <c r="O9" s="29"/>
      <c r="P9" s="29"/>
    </row>
    <row r="10" spans="1:16" ht="16.5" customHeight="1">
      <c r="B10" s="14"/>
      <c r="C10" s="15"/>
      <c r="D10" s="15"/>
      <c r="E10" s="15"/>
      <c r="F10" s="15"/>
      <c r="G10" s="15"/>
      <c r="I10" s="15"/>
      <c r="J10" s="15"/>
      <c r="K10" s="15"/>
      <c r="L10" s="15"/>
      <c r="M10" s="15"/>
      <c r="N10" s="15"/>
      <c r="O10" s="30"/>
      <c r="P10" s="30"/>
    </row>
    <row r="11" spans="1:16" ht="16.5" customHeight="1" thickBot="1">
      <c r="B11" s="14"/>
      <c r="C11" s="15"/>
      <c r="D11" s="15"/>
      <c r="E11" s="15"/>
      <c r="F11" s="15"/>
      <c r="G11" s="15"/>
      <c r="H11" s="15"/>
      <c r="I11" s="15"/>
      <c r="J11" s="15"/>
      <c r="K11" s="15"/>
      <c r="L11" s="15"/>
      <c r="M11" s="15"/>
      <c r="N11" s="15"/>
      <c r="O11" s="30"/>
      <c r="P11" s="30"/>
    </row>
    <row r="12" spans="1:16" ht="16.5" customHeight="1" thickTop="1">
      <c r="B12" s="19" t="s">
        <v>1</v>
      </c>
      <c r="C12" s="16"/>
      <c r="D12" s="16"/>
      <c r="E12" s="16"/>
      <c r="F12" s="16"/>
      <c r="G12" s="16"/>
      <c r="H12" s="16"/>
      <c r="I12" s="16"/>
      <c r="J12" s="16"/>
      <c r="K12" s="16"/>
      <c r="L12" s="16"/>
      <c r="M12" s="16"/>
      <c r="N12" s="16"/>
      <c r="O12" s="31"/>
      <c r="P12" s="31"/>
    </row>
    <row r="13" spans="1:16" ht="16.5" customHeight="1">
      <c r="B13" s="25" t="s">
        <v>2</v>
      </c>
      <c r="C13" s="26">
        <v>4000</v>
      </c>
      <c r="D13" s="26">
        <v>4000</v>
      </c>
      <c r="E13" s="26">
        <v>4000</v>
      </c>
      <c r="F13" s="26">
        <v>4000</v>
      </c>
      <c r="G13" s="26">
        <v>4000</v>
      </c>
      <c r="H13" s="26">
        <v>1000</v>
      </c>
      <c r="I13" s="26">
        <v>1000</v>
      </c>
      <c r="J13" s="26">
        <v>1000</v>
      </c>
      <c r="K13" s="26">
        <v>4000</v>
      </c>
      <c r="L13" s="26">
        <v>4000</v>
      </c>
      <c r="M13" s="26">
        <v>4000</v>
      </c>
      <c r="N13" s="26">
        <v>4000</v>
      </c>
      <c r="O13" s="29">
        <f>SUM(tblДоход[[#This Row],[jan]:[dec]])</f>
        <v>39000</v>
      </c>
      <c r="P13" s="29">
        <f>tblДоход[[#This Row],[year]]/12</f>
        <v>3250</v>
      </c>
    </row>
    <row r="14" spans="1:16" ht="16.5" customHeight="1">
      <c r="B14" s="25" t="s">
        <v>3</v>
      </c>
      <c r="C14" s="26">
        <v>222</v>
      </c>
      <c r="D14" s="26">
        <v>33</v>
      </c>
      <c r="E14" s="26"/>
      <c r="F14" s="26">
        <v>45</v>
      </c>
      <c r="G14" s="26"/>
      <c r="H14" s="26">
        <v>25</v>
      </c>
      <c r="I14" s="26"/>
      <c r="J14" s="26"/>
      <c r="K14" s="26"/>
      <c r="L14" s="26"/>
      <c r="M14" s="26"/>
      <c r="N14" s="26"/>
      <c r="O14" s="29">
        <f>SUM(tblДоход[[#This Row],[jan]:[dec]])</f>
        <v>325</v>
      </c>
      <c r="P14" s="29">
        <f>tblДоход[[#This Row],[year]]/12</f>
        <v>27.083333333333332</v>
      </c>
    </row>
    <row r="15" spans="1:16" ht="16.5" customHeight="1">
      <c r="B15" s="25" t="s">
        <v>4</v>
      </c>
      <c r="C15" s="26"/>
      <c r="D15" s="26">
        <v>5000</v>
      </c>
      <c r="E15" s="26"/>
      <c r="F15" s="26"/>
      <c r="G15" s="26">
        <v>5000</v>
      </c>
      <c r="H15" s="26"/>
      <c r="I15" s="26"/>
      <c r="J15" s="26">
        <v>5000</v>
      </c>
      <c r="K15" s="26"/>
      <c r="L15" s="26"/>
      <c r="M15" s="26">
        <v>5000</v>
      </c>
      <c r="N15" s="26"/>
      <c r="O15" s="29">
        <f>SUM(tblДоход[[#This Row],[jan]:[dec]])</f>
        <v>20000</v>
      </c>
      <c r="P15" s="29">
        <f>tblДоход[[#This Row],[year]]/12</f>
        <v>1666.6666666666667</v>
      </c>
    </row>
    <row r="16" spans="1:16" ht="16.5" customHeight="1">
      <c r="B16" s="25" t="s">
        <v>6</v>
      </c>
      <c r="C16" s="26"/>
      <c r="D16" s="26"/>
      <c r="E16" s="26"/>
      <c r="F16" s="26"/>
      <c r="G16" s="26"/>
      <c r="H16" s="26">
        <v>500</v>
      </c>
      <c r="I16" s="26">
        <v>500</v>
      </c>
      <c r="J16" s="26">
        <v>500</v>
      </c>
      <c r="K16" s="26"/>
      <c r="L16" s="26"/>
      <c r="M16" s="26"/>
      <c r="N16" s="26"/>
      <c r="O16" s="29">
        <f>SUM(tblДоход[[#This Row],[jan]:[dec]])</f>
        <v>1500</v>
      </c>
      <c r="P16" s="29">
        <f>tblДоход[[#This Row],[year]]/12</f>
        <v>125</v>
      </c>
    </row>
    <row r="17" spans="2:16" ht="16.5" customHeight="1">
      <c r="B17" s="25" t="s">
        <v>8</v>
      </c>
      <c r="C17" s="26"/>
      <c r="D17" s="26"/>
      <c r="E17" s="26"/>
      <c r="F17" s="26"/>
      <c r="G17" s="26"/>
      <c r="H17" s="26"/>
      <c r="I17" s="26"/>
      <c r="J17" s="26"/>
      <c r="K17" s="26"/>
      <c r="L17" s="26"/>
      <c r="M17" s="26"/>
      <c r="N17" s="26"/>
      <c r="O17" s="29">
        <f>SUM(tblДоход[[#This Row],[jan]:[dec]])</f>
        <v>0</v>
      </c>
      <c r="P17" s="29">
        <f>tblДоход[[#This Row],[year]]/12</f>
        <v>0</v>
      </c>
    </row>
    <row r="18" spans="2:16" ht="16.5" customHeight="1">
      <c r="B18" s="25" t="s">
        <v>124</v>
      </c>
      <c r="C18" s="26">
        <f>SUM(tblДоход[jan])</f>
        <v>4222</v>
      </c>
      <c r="D18" s="26">
        <f>SUM(tblДоход[feb])</f>
        <v>9033</v>
      </c>
      <c r="E18" s="26">
        <f>SUM(tblДоход[mar])</f>
        <v>4000</v>
      </c>
      <c r="F18" s="26">
        <f>SUM(tblДоход[apr])</f>
        <v>4045</v>
      </c>
      <c r="G18" s="26">
        <f>SUM(tblДоход[may])</f>
        <v>9000</v>
      </c>
      <c r="H18" s="26">
        <f>SUM(tblДоход[jun])</f>
        <v>1525</v>
      </c>
      <c r="I18" s="26">
        <f>SUM(tblДоход[jul])</f>
        <v>1500</v>
      </c>
      <c r="J18" s="26">
        <f>SUM(tblДоход[aug])</f>
        <v>6500</v>
      </c>
      <c r="K18" s="26">
        <f>SUM(tblДоход[sep])</f>
        <v>4000</v>
      </c>
      <c r="L18" s="26">
        <f>SUM(tblДоход[oct])</f>
        <v>4000</v>
      </c>
      <c r="M18" s="26">
        <f>SUM(tblДоход[nov])</f>
        <v>9000</v>
      </c>
      <c r="N18" s="26">
        <f>SUM(tblДоход[dec])</f>
        <v>4000</v>
      </c>
      <c r="O18" s="29">
        <f>SUM(tblДоход[year])</f>
        <v>60825</v>
      </c>
      <c r="P18" s="29">
        <f>tblДоход[[#Totals],[year]]/12</f>
        <v>5068.75</v>
      </c>
    </row>
    <row r="19" spans="2:16" ht="16.5" customHeight="1">
      <c r="B19" s="39"/>
      <c r="C19" s="39"/>
      <c r="D19" s="39"/>
      <c r="E19" s="39"/>
      <c r="F19" s="39"/>
      <c r="G19" s="39"/>
      <c r="H19" s="39"/>
      <c r="I19" s="39"/>
      <c r="J19" s="39"/>
      <c r="K19" s="39"/>
      <c r="L19" s="39"/>
      <c r="M19" s="39"/>
      <c r="N19" s="39"/>
      <c r="O19" s="30"/>
      <c r="P19" s="30"/>
    </row>
    <row r="20" spans="2:16" ht="16.5" customHeight="1" thickBot="1">
      <c r="B20" s="14"/>
      <c r="C20" s="15"/>
      <c r="D20" s="15"/>
      <c r="E20" s="15"/>
      <c r="F20" s="15"/>
      <c r="G20" s="15"/>
      <c r="H20" s="15"/>
      <c r="I20" s="15"/>
      <c r="J20" s="15"/>
      <c r="K20" s="15"/>
      <c r="L20" s="15"/>
      <c r="M20" s="15"/>
      <c r="N20" s="15"/>
      <c r="O20" s="30"/>
      <c r="P20" s="30"/>
    </row>
    <row r="21" spans="2:16" ht="16.5" customHeight="1" thickTop="1">
      <c r="B21" s="19" t="s">
        <v>11</v>
      </c>
      <c r="C21" s="16"/>
      <c r="D21" s="16"/>
      <c r="E21" s="16"/>
      <c r="F21" s="16"/>
      <c r="G21" s="16"/>
      <c r="H21" s="16"/>
      <c r="I21" s="16"/>
      <c r="J21" s="16"/>
      <c r="K21" s="16"/>
      <c r="L21" s="16"/>
      <c r="M21" s="16"/>
      <c r="N21" s="16"/>
      <c r="O21" s="31"/>
      <c r="P21" s="31"/>
    </row>
    <row r="22" spans="2:16" ht="16.5" customHeight="1">
      <c r="B22" s="25" t="s">
        <v>26</v>
      </c>
      <c r="C22" s="26">
        <v>850</v>
      </c>
      <c r="D22" s="26">
        <v>850</v>
      </c>
      <c r="E22" s="26">
        <v>850</v>
      </c>
      <c r="F22" s="26">
        <v>850</v>
      </c>
      <c r="G22" s="26">
        <v>850</v>
      </c>
      <c r="H22" s="26">
        <v>850</v>
      </c>
      <c r="I22" s="26">
        <v>850</v>
      </c>
      <c r="J22" s="26">
        <v>850</v>
      </c>
      <c r="K22" s="26">
        <v>850</v>
      </c>
      <c r="L22" s="26">
        <v>850</v>
      </c>
      <c r="M22" s="26">
        <v>900</v>
      </c>
      <c r="N22" s="26">
        <v>900</v>
      </c>
      <c r="O22" s="29">
        <f>SUM(tblСтатьяРасходов_01[[#This Row],[jan]:[dec]])</f>
        <v>10300</v>
      </c>
      <c r="P22" s="29">
        <f>tblСтатьяРасходов_01[[#This Row],[year]]/12</f>
        <v>858.33333333333337</v>
      </c>
    </row>
    <row r="23" spans="2:16" ht="16.5" customHeight="1">
      <c r="B23" s="25" t="s">
        <v>27</v>
      </c>
      <c r="C23" s="26">
        <v>200</v>
      </c>
      <c r="D23" s="26">
        <v>200</v>
      </c>
      <c r="E23" s="26">
        <v>175</v>
      </c>
      <c r="F23" s="26">
        <v>150</v>
      </c>
      <c r="G23" s="26">
        <v>150</v>
      </c>
      <c r="H23" s="26">
        <v>175</v>
      </c>
      <c r="I23" s="26">
        <v>225</v>
      </c>
      <c r="J23" s="26">
        <v>275</v>
      </c>
      <c r="K23" s="26">
        <v>200</v>
      </c>
      <c r="L23" s="26">
        <v>150</v>
      </c>
      <c r="M23" s="26">
        <v>150</v>
      </c>
      <c r="N23" s="26">
        <v>150</v>
      </c>
      <c r="O23" s="29">
        <f>SUM(tblСтатьяРасходов_01[[#This Row],[jan]:[dec]])</f>
        <v>2200</v>
      </c>
      <c r="P23" s="29">
        <f>tblСтатьяРасходов_01[[#This Row],[year]]/12</f>
        <v>183.33333333333334</v>
      </c>
    </row>
    <row r="24" spans="2:16" ht="16.5" customHeight="1">
      <c r="B24" s="25" t="s">
        <v>30</v>
      </c>
      <c r="C24" s="26">
        <v>50</v>
      </c>
      <c r="D24" s="26">
        <v>50</v>
      </c>
      <c r="E24" s="26">
        <v>100</v>
      </c>
      <c r="F24" s="26">
        <v>100</v>
      </c>
      <c r="G24" s="26">
        <v>50</v>
      </c>
      <c r="H24" s="26">
        <v>50</v>
      </c>
      <c r="I24" s="26">
        <v>100</v>
      </c>
      <c r="J24" s="26">
        <v>100</v>
      </c>
      <c r="K24" s="26">
        <v>50</v>
      </c>
      <c r="L24" s="26">
        <v>50</v>
      </c>
      <c r="M24" s="26">
        <v>50</v>
      </c>
      <c r="N24" s="26">
        <v>50</v>
      </c>
      <c r="O24" s="29">
        <f>SUM(tblСтатьяРасходов_01[[#This Row],[jan]:[dec]])</f>
        <v>800</v>
      </c>
      <c r="P24" s="29">
        <f>tblСтатьяРасходов_01[[#This Row],[year]]/12</f>
        <v>66.666666666666671</v>
      </c>
    </row>
    <row r="25" spans="2:16" ht="16.5" customHeight="1">
      <c r="B25" s="25" t="s">
        <v>31</v>
      </c>
      <c r="C25" s="26">
        <v>69</v>
      </c>
      <c r="D25" s="26">
        <v>69</v>
      </c>
      <c r="E25" s="26">
        <v>69</v>
      </c>
      <c r="F25" s="26">
        <v>69</v>
      </c>
      <c r="G25" s="26">
        <v>69</v>
      </c>
      <c r="H25" s="26">
        <v>69</v>
      </c>
      <c r="I25" s="26">
        <v>69</v>
      </c>
      <c r="J25" s="26">
        <v>69</v>
      </c>
      <c r="K25" s="26">
        <v>69</v>
      </c>
      <c r="L25" s="26">
        <v>69</v>
      </c>
      <c r="M25" s="26">
        <v>69</v>
      </c>
      <c r="N25" s="26">
        <v>69</v>
      </c>
      <c r="O25" s="29">
        <f>SUM(tblСтатьяРасходов_01[[#This Row],[jan]:[dec]])</f>
        <v>828</v>
      </c>
      <c r="P25" s="29">
        <f>tblСтатьяРасходов_01[[#This Row],[year]]/12</f>
        <v>69</v>
      </c>
    </row>
    <row r="26" spans="2:16" ht="16.5" customHeight="1">
      <c r="B26" s="25" t="s">
        <v>32</v>
      </c>
      <c r="C26" s="26">
        <v>39</v>
      </c>
      <c r="D26" s="26">
        <v>39</v>
      </c>
      <c r="E26" s="26">
        <v>39</v>
      </c>
      <c r="F26" s="26">
        <v>39</v>
      </c>
      <c r="G26" s="26">
        <v>39</v>
      </c>
      <c r="H26" s="26">
        <v>39</v>
      </c>
      <c r="I26" s="26">
        <v>39</v>
      </c>
      <c r="J26" s="26">
        <v>39</v>
      </c>
      <c r="K26" s="26">
        <v>39</v>
      </c>
      <c r="L26" s="26">
        <v>39</v>
      </c>
      <c r="M26" s="26">
        <v>39</v>
      </c>
      <c r="N26" s="26">
        <v>39</v>
      </c>
      <c r="O26" s="29">
        <f>SUM(tblСтатьяРасходов_01[[#This Row],[jan]:[dec]])</f>
        <v>468</v>
      </c>
      <c r="P26" s="29">
        <f>tblСтатьяРасходов_01[[#This Row],[year]]/12</f>
        <v>39</v>
      </c>
    </row>
    <row r="27" spans="2:16" ht="16.5" customHeight="1">
      <c r="B27" s="25" t="str">
        <f>UPPER("ВСЕГО: " &amp; B21)</f>
        <v>ВСЕГО: ЖИЛЬЕ</v>
      </c>
      <c r="C27" s="26">
        <f>SUM(tblСтатьяРасходов_01[jan])</f>
        <v>1208</v>
      </c>
      <c r="D27" s="26">
        <f>SUM(tblСтатьяРасходов_01[feb])</f>
        <v>1208</v>
      </c>
      <c r="E27" s="26">
        <f>SUM(tblСтатьяРасходов_01[mar])</f>
        <v>1233</v>
      </c>
      <c r="F27" s="26">
        <f>SUM(tblСтатьяРасходов_01[apr])</f>
        <v>1208</v>
      </c>
      <c r="G27" s="26">
        <f>SUM(tblСтатьяРасходов_01[may])</f>
        <v>1158</v>
      </c>
      <c r="H27" s="26">
        <f>SUM(tblСтатьяРасходов_01[jun])</f>
        <v>1183</v>
      </c>
      <c r="I27" s="26">
        <f>SUM(tblСтатьяРасходов_01[jul])</f>
        <v>1283</v>
      </c>
      <c r="J27" s="26">
        <f>SUM(tblСтатьяРасходов_01[aug])</f>
        <v>1333</v>
      </c>
      <c r="K27" s="26">
        <f>SUM(tblСтатьяРасходов_01[sep])</f>
        <v>1208</v>
      </c>
      <c r="L27" s="26">
        <f>SUM(tblСтатьяРасходов_01[oct])</f>
        <v>1158</v>
      </c>
      <c r="M27" s="26">
        <f>SUM(tblСтатьяРасходов_01[nov])</f>
        <v>1208</v>
      </c>
      <c r="N27" s="26">
        <f>SUM(tblСтатьяРасходов_01[dec])</f>
        <v>1208</v>
      </c>
      <c r="O27" s="29">
        <f>SUM(tblСтатьяРасходов_01[year])</f>
        <v>14596</v>
      </c>
      <c r="P27" s="29">
        <f>tblСтатьяРасходов_01[[#Totals],[year]]/12</f>
        <v>1216.3333333333333</v>
      </c>
    </row>
    <row r="28" spans="2:16" ht="16.5" customHeight="1">
      <c r="B28" s="39"/>
      <c r="C28" s="39"/>
      <c r="D28" s="39"/>
      <c r="E28" s="39"/>
      <c r="F28" s="39"/>
      <c r="G28" s="39"/>
      <c r="H28" s="39"/>
      <c r="I28" s="39"/>
      <c r="J28" s="39"/>
      <c r="K28" s="39"/>
      <c r="L28" s="39"/>
      <c r="M28" s="39"/>
      <c r="N28" s="39"/>
      <c r="O28" s="30"/>
      <c r="P28" s="30"/>
    </row>
    <row r="29" spans="2:16" ht="16.5" customHeight="1" thickBot="1">
      <c r="B29" s="14"/>
      <c r="C29" s="15"/>
      <c r="D29" s="15"/>
      <c r="E29" s="15"/>
      <c r="F29" s="15"/>
      <c r="G29" s="15"/>
      <c r="H29" s="15"/>
      <c r="I29" s="15"/>
      <c r="J29" s="15"/>
      <c r="K29" s="15"/>
      <c r="L29" s="15"/>
      <c r="M29" s="15"/>
      <c r="N29" s="15"/>
      <c r="O29" s="30"/>
      <c r="P29" s="30"/>
    </row>
    <row r="30" spans="2:16" ht="16.5" customHeight="1" thickTop="1">
      <c r="B30" s="19" t="s">
        <v>12</v>
      </c>
      <c r="C30" s="16"/>
      <c r="D30" s="16"/>
      <c r="E30" s="16"/>
      <c r="F30" s="16"/>
      <c r="G30" s="16"/>
      <c r="H30" s="16"/>
      <c r="I30" s="16"/>
      <c r="J30" s="16"/>
      <c r="K30" s="16"/>
      <c r="L30" s="16"/>
      <c r="M30" s="16"/>
      <c r="N30" s="16"/>
      <c r="O30" s="31"/>
      <c r="P30" s="31"/>
    </row>
    <row r="31" spans="2:16" ht="16.5" customHeight="1">
      <c r="B31" s="25" t="s">
        <v>38</v>
      </c>
      <c r="C31" s="26">
        <v>345</v>
      </c>
      <c r="D31" s="26">
        <v>250</v>
      </c>
      <c r="E31" s="26">
        <v>200</v>
      </c>
      <c r="F31" s="26">
        <v>400</v>
      </c>
      <c r="G31" s="26">
        <v>350</v>
      </c>
      <c r="H31" s="26">
        <v>250</v>
      </c>
      <c r="I31" s="26">
        <v>400</v>
      </c>
      <c r="J31" s="26">
        <v>350</v>
      </c>
      <c r="K31" s="26">
        <v>250</v>
      </c>
      <c r="L31" s="26">
        <v>400</v>
      </c>
      <c r="M31" s="26">
        <v>350</v>
      </c>
      <c r="N31" s="26">
        <v>250</v>
      </c>
      <c r="O31" s="29">
        <f>SUM(tblСтатьяРасходов_02[[#This Row],[jan]:[dec]])</f>
        <v>3795</v>
      </c>
      <c r="P31" s="29">
        <f>tblСтатьяРасходов_02[[#This Row],[year]]/12</f>
        <v>316.25</v>
      </c>
    </row>
    <row r="32" spans="2:16" ht="16.5" customHeight="1">
      <c r="B32" s="25" t="s">
        <v>40</v>
      </c>
      <c r="C32" s="26">
        <v>300</v>
      </c>
      <c r="D32" s="26"/>
      <c r="E32" s="26"/>
      <c r="F32" s="26">
        <v>300</v>
      </c>
      <c r="G32" s="26"/>
      <c r="H32" s="26"/>
      <c r="I32" s="26">
        <v>300</v>
      </c>
      <c r="J32" s="26"/>
      <c r="K32" s="26"/>
      <c r="L32" s="26">
        <v>300</v>
      </c>
      <c r="M32" s="26"/>
      <c r="N32" s="26"/>
      <c r="O32" s="29">
        <f>SUM(tblСтатьяРасходов_02[[#This Row],[jan]:[dec]])</f>
        <v>1200</v>
      </c>
      <c r="P32" s="29">
        <f>tblСтатьяРасходов_02[[#This Row],[year]]/12</f>
        <v>100</v>
      </c>
    </row>
    <row r="33" spans="2:16" ht="16.5" customHeight="1">
      <c r="B33" s="25" t="s">
        <v>42</v>
      </c>
      <c r="C33" s="26">
        <v>125</v>
      </c>
      <c r="D33" s="26">
        <v>125</v>
      </c>
      <c r="E33" s="26">
        <v>300</v>
      </c>
      <c r="F33" s="26">
        <v>125</v>
      </c>
      <c r="G33" s="26">
        <v>125</v>
      </c>
      <c r="H33" s="26">
        <v>200</v>
      </c>
      <c r="I33" s="26">
        <v>125</v>
      </c>
      <c r="J33" s="26">
        <v>125</v>
      </c>
      <c r="K33" s="26">
        <v>125</v>
      </c>
      <c r="L33" s="26">
        <v>125</v>
      </c>
      <c r="M33" s="26">
        <v>125</v>
      </c>
      <c r="N33" s="26">
        <v>125</v>
      </c>
      <c r="O33" s="29">
        <f>SUM(tblСтатьяРасходов_02[[#This Row],[jan]:[dec]])</f>
        <v>1750</v>
      </c>
      <c r="P33" s="29">
        <f>tblСтатьяРасходов_02[[#This Row],[year]]/12</f>
        <v>145.83333333333334</v>
      </c>
    </row>
    <row r="34" spans="2:16" ht="16.5" customHeight="1">
      <c r="B34" s="25" t="s">
        <v>44</v>
      </c>
      <c r="C34" s="26">
        <v>25</v>
      </c>
      <c r="D34" s="26"/>
      <c r="E34" s="26">
        <v>50</v>
      </c>
      <c r="F34" s="26"/>
      <c r="G34" s="26">
        <v>25</v>
      </c>
      <c r="H34" s="26"/>
      <c r="I34" s="26">
        <v>50</v>
      </c>
      <c r="J34" s="26"/>
      <c r="K34" s="26">
        <v>25</v>
      </c>
      <c r="L34" s="26"/>
      <c r="M34" s="26">
        <v>100</v>
      </c>
      <c r="N34" s="26"/>
      <c r="O34" s="29">
        <f>SUM(tblСтатьяРасходов_02[[#This Row],[jan]:[dec]])</f>
        <v>275</v>
      </c>
      <c r="P34" s="29">
        <f>tblСтатьяРасходов_02[[#This Row],[year]]/12</f>
        <v>22.916666666666668</v>
      </c>
    </row>
    <row r="35" spans="2:16" ht="16.5" customHeight="1">
      <c r="B35" s="25" t="s">
        <v>8</v>
      </c>
      <c r="C35" s="26"/>
      <c r="D35" s="26"/>
      <c r="E35" s="26"/>
      <c r="F35" s="26"/>
      <c r="G35" s="26"/>
      <c r="H35" s="26"/>
      <c r="I35" s="26"/>
      <c r="J35" s="26"/>
      <c r="K35" s="26"/>
      <c r="L35" s="26"/>
      <c r="M35" s="26"/>
      <c r="N35" s="26"/>
      <c r="O35" s="29">
        <f>SUM(tblСтатьяРасходов_02[[#This Row],[jan]:[dec]])</f>
        <v>0</v>
      </c>
      <c r="P35" s="29">
        <f>tblСтатьяРасходов_02[[#This Row],[year]]/12</f>
        <v>0</v>
      </c>
    </row>
    <row r="36" spans="2:16" ht="16.5" customHeight="1">
      <c r="B36" s="25" t="str">
        <f>UPPER("ВСЕГО: " &amp; B30)</f>
        <v>ВСЕГО: БЫТОВЫЕ НУЖДЫ</v>
      </c>
      <c r="C36" s="26">
        <f>SUM(tblСтатьяРасходов_02[jan])</f>
        <v>795</v>
      </c>
      <c r="D36" s="26">
        <f>SUM(tblСтатьяРасходов_02[feb])</f>
        <v>375</v>
      </c>
      <c r="E36" s="26">
        <f>SUM(tblСтатьяРасходов_02[mar])</f>
        <v>550</v>
      </c>
      <c r="F36" s="26">
        <f>SUM(tblСтатьяРасходов_02[apr])</f>
        <v>825</v>
      </c>
      <c r="G36" s="26">
        <f>SUM(tblСтатьяРасходов_02[may])</f>
        <v>500</v>
      </c>
      <c r="H36" s="26">
        <f>SUM(tblСтатьяРасходов_02[jun])</f>
        <v>450</v>
      </c>
      <c r="I36" s="26">
        <f>SUM(tblСтатьяРасходов_02[jul])</f>
        <v>875</v>
      </c>
      <c r="J36" s="26">
        <f>SUM(tblСтатьяРасходов_02[aug])</f>
        <v>475</v>
      </c>
      <c r="K36" s="26">
        <f>SUM(tblСтатьяРасходов_02[sep])</f>
        <v>400</v>
      </c>
      <c r="L36" s="26">
        <f>SUM(tblСтатьяРасходов_02[oct])</f>
        <v>825</v>
      </c>
      <c r="M36" s="26">
        <f>SUM(tblСтатьяРасходов_02[nov])</f>
        <v>575</v>
      </c>
      <c r="N36" s="26">
        <f>SUM(tblСтатьяРасходов_02[dec])</f>
        <v>375</v>
      </c>
      <c r="O36" s="29">
        <f>SUM(tblСтатьяРасходов_02[year])</f>
        <v>7020</v>
      </c>
      <c r="P36" s="29">
        <f>tblСтатьяРасходов_02[[#Totals],[year]]/12</f>
        <v>585</v>
      </c>
    </row>
    <row r="37" spans="2:16" ht="16.5" customHeight="1">
      <c r="B37" s="39"/>
      <c r="C37" s="39"/>
      <c r="D37" s="39"/>
      <c r="E37" s="39"/>
      <c r="F37" s="39"/>
      <c r="G37" s="39"/>
      <c r="H37" s="39"/>
      <c r="I37" s="39"/>
      <c r="J37" s="39"/>
      <c r="K37" s="39"/>
      <c r="L37" s="39"/>
      <c r="M37" s="39"/>
      <c r="N37" s="39"/>
      <c r="O37" s="30"/>
      <c r="P37" s="30"/>
    </row>
    <row r="38" spans="2:16" ht="16.5" customHeight="1" thickBot="1">
      <c r="B38" s="14"/>
      <c r="C38" s="15"/>
      <c r="D38" s="15"/>
      <c r="E38" s="15"/>
      <c r="F38" s="15"/>
      <c r="G38" s="15"/>
      <c r="H38" s="15"/>
      <c r="I38" s="15"/>
      <c r="J38" s="15"/>
      <c r="K38" s="15"/>
      <c r="L38" s="15"/>
      <c r="M38" s="15"/>
      <c r="N38" s="15"/>
      <c r="O38" s="30"/>
      <c r="P38" s="30"/>
    </row>
    <row r="39" spans="2:16" ht="16.5" customHeight="1" thickTop="1">
      <c r="B39" s="19" t="s">
        <v>13</v>
      </c>
      <c r="C39" s="16"/>
      <c r="D39" s="16"/>
      <c r="E39" s="16"/>
      <c r="F39" s="16"/>
      <c r="G39" s="16"/>
      <c r="H39" s="16"/>
      <c r="I39" s="16"/>
      <c r="J39" s="16"/>
      <c r="K39" s="16"/>
      <c r="L39" s="16"/>
      <c r="M39" s="16"/>
      <c r="N39" s="16"/>
      <c r="O39" s="31"/>
      <c r="P39" s="31"/>
    </row>
    <row r="40" spans="2:16" ht="16.5" customHeight="1">
      <c r="B40" s="25" t="s">
        <v>48</v>
      </c>
      <c r="C40" s="26">
        <v>123</v>
      </c>
      <c r="D40" s="26"/>
      <c r="E40" s="26">
        <v>100</v>
      </c>
      <c r="F40" s="26"/>
      <c r="G40" s="26"/>
      <c r="H40" s="26"/>
      <c r="I40" s="26"/>
      <c r="J40" s="26">
        <v>345</v>
      </c>
      <c r="K40" s="26"/>
      <c r="L40" s="26"/>
      <c r="M40" s="26"/>
      <c r="N40" s="26"/>
      <c r="O40" s="29">
        <f>SUM(tblСтатьяРасходов_03[[#This Row],[jan]:[dec]])</f>
        <v>568</v>
      </c>
      <c r="P40" s="29">
        <f>tblСтатьяРасходов_03[[#This Row],[year]]/12</f>
        <v>47.333333333333336</v>
      </c>
    </row>
    <row r="41" spans="2:16" ht="16.5" customHeight="1">
      <c r="B41" s="25" t="s">
        <v>40</v>
      </c>
      <c r="C41" s="26"/>
      <c r="D41" s="26">
        <v>100</v>
      </c>
      <c r="E41" s="26"/>
      <c r="F41" s="26"/>
      <c r="G41" s="26">
        <v>100</v>
      </c>
      <c r="H41" s="26"/>
      <c r="I41" s="26"/>
      <c r="J41" s="26"/>
      <c r="K41" s="26">
        <v>100</v>
      </c>
      <c r="L41" s="26"/>
      <c r="M41" s="26"/>
      <c r="N41" s="26">
        <v>100</v>
      </c>
      <c r="O41" s="29">
        <f>SUM(tblСтатьяРасходов_03[[#This Row],[jan]:[dec]])</f>
        <v>400</v>
      </c>
      <c r="P41" s="29">
        <f>tblСтатьяРасходов_03[[#This Row],[year]]/12</f>
        <v>33.333333333333336</v>
      </c>
    </row>
    <row r="42" spans="2:16" ht="16.5" customHeight="1">
      <c r="B42" s="25" t="s">
        <v>47</v>
      </c>
      <c r="C42" s="26">
        <v>50</v>
      </c>
      <c r="D42" s="26">
        <v>50</v>
      </c>
      <c r="E42" s="26">
        <v>50</v>
      </c>
      <c r="F42" s="26">
        <v>50</v>
      </c>
      <c r="G42" s="26">
        <v>50</v>
      </c>
      <c r="H42" s="26">
        <v>50</v>
      </c>
      <c r="I42" s="26"/>
      <c r="J42" s="26"/>
      <c r="K42" s="26">
        <v>50</v>
      </c>
      <c r="L42" s="26">
        <v>50</v>
      </c>
      <c r="M42" s="26">
        <v>50</v>
      </c>
      <c r="N42" s="26">
        <v>50</v>
      </c>
      <c r="O42" s="29">
        <f>SUM(tblСтатьяРасходов_03[[#This Row],[jan]:[dec]])</f>
        <v>500</v>
      </c>
      <c r="P42" s="29">
        <f>tblСтатьяРасходов_03[[#This Row],[year]]/12</f>
        <v>41.666666666666664</v>
      </c>
    </row>
    <row r="43" spans="2:16" ht="16.5" customHeight="1">
      <c r="B43" s="25" t="s">
        <v>45</v>
      </c>
      <c r="C43" s="26">
        <v>200</v>
      </c>
      <c r="D43" s="26">
        <v>200</v>
      </c>
      <c r="E43" s="26">
        <v>200</v>
      </c>
      <c r="F43" s="26">
        <v>200</v>
      </c>
      <c r="G43" s="26">
        <v>200</v>
      </c>
      <c r="H43" s="26">
        <v>200</v>
      </c>
      <c r="I43" s="26">
        <v>200</v>
      </c>
      <c r="J43" s="26">
        <v>200</v>
      </c>
      <c r="K43" s="26">
        <v>200</v>
      </c>
      <c r="L43" s="26">
        <v>200</v>
      </c>
      <c r="M43" s="26">
        <v>200</v>
      </c>
      <c r="N43" s="26">
        <v>200</v>
      </c>
      <c r="O43" s="29">
        <f>SUM(tblСтатьяРасходов_03[[#This Row],[jan]:[dec]])</f>
        <v>2400</v>
      </c>
      <c r="P43" s="29">
        <f>tblСтатьяРасходов_03[[#This Row],[year]]/12</f>
        <v>200</v>
      </c>
    </row>
    <row r="44" spans="2:16" ht="16.5" customHeight="1">
      <c r="B44" s="25" t="s">
        <v>8</v>
      </c>
      <c r="C44" s="26">
        <v>2000</v>
      </c>
      <c r="D44" s="26">
        <v>150</v>
      </c>
      <c r="E44" s="26"/>
      <c r="F44" s="26"/>
      <c r="G44" s="26"/>
      <c r="H44" s="26">
        <v>200</v>
      </c>
      <c r="I44" s="26"/>
      <c r="J44" s="26"/>
      <c r="K44" s="26"/>
      <c r="L44" s="26">
        <v>100</v>
      </c>
      <c r="M44" s="26"/>
      <c r="N44" s="26"/>
      <c r="O44" s="29">
        <f>SUM(tblСтатьяРасходов_03[[#This Row],[jan]:[dec]])</f>
        <v>2450</v>
      </c>
      <c r="P44" s="29">
        <f>tblСтатьяРасходов_03[[#This Row],[year]]/12</f>
        <v>204.16666666666666</v>
      </c>
    </row>
    <row r="45" spans="2:16" ht="16.5" customHeight="1">
      <c r="B45" s="25" t="str">
        <f>UPPER("ВСЕГО: " &amp; B39)</f>
        <v>ВСЕГО: ДЕТИ</v>
      </c>
      <c r="C45" s="26">
        <f>SUM(tblСтатьяРасходов_03[jan])</f>
        <v>2373</v>
      </c>
      <c r="D45" s="26">
        <f>SUM(tblСтатьяРасходов_03[feb])</f>
        <v>500</v>
      </c>
      <c r="E45" s="26">
        <f>SUM(tblСтатьяРасходов_03[mar])</f>
        <v>350</v>
      </c>
      <c r="F45" s="26">
        <f>SUM(tblСтатьяРасходов_03[apr])</f>
        <v>250</v>
      </c>
      <c r="G45" s="26">
        <f>SUM(tblСтатьяРасходов_03[may])</f>
        <v>350</v>
      </c>
      <c r="H45" s="26">
        <f>SUM(tblСтатьяРасходов_03[jun])</f>
        <v>450</v>
      </c>
      <c r="I45" s="26">
        <f>SUM(tblСтатьяРасходов_03[jul])</f>
        <v>200</v>
      </c>
      <c r="J45" s="26">
        <f>SUM(tblСтатьяРасходов_03[aug])</f>
        <v>545</v>
      </c>
      <c r="K45" s="26">
        <f>SUM(tblСтатьяРасходов_03[sep])</f>
        <v>350</v>
      </c>
      <c r="L45" s="26">
        <f>SUM(tblСтатьяРасходов_03[oct])</f>
        <v>350</v>
      </c>
      <c r="M45" s="26">
        <f>SUM(tblСтатьяРасходов_03[nov])</f>
        <v>250</v>
      </c>
      <c r="N45" s="26">
        <f>SUM(tblСтатьяРасходов_03[dec])</f>
        <v>350</v>
      </c>
      <c r="O45" s="29">
        <f>SUM(tblСтатьяРасходов_03[year])</f>
        <v>6318</v>
      </c>
      <c r="P45" s="29">
        <f>tblСтатьяРасходов_03[[#Totals],[year]]/12</f>
        <v>526.5</v>
      </c>
    </row>
    <row r="46" spans="2:16" ht="16.5" customHeight="1">
      <c r="B46" s="39"/>
      <c r="C46" s="39"/>
      <c r="D46" s="39"/>
      <c r="E46" s="39"/>
      <c r="F46" s="39"/>
      <c r="G46" s="39"/>
      <c r="H46" s="39"/>
      <c r="I46" s="39"/>
      <c r="J46" s="39"/>
      <c r="K46" s="39"/>
      <c r="L46" s="39"/>
      <c r="M46" s="39"/>
      <c r="N46" s="39"/>
      <c r="O46" s="32"/>
      <c r="P46" s="32"/>
    </row>
    <row r="47" spans="2:16" ht="16.5" customHeight="1" thickBot="1">
      <c r="B47" s="14"/>
      <c r="C47" s="17"/>
      <c r="D47" s="17"/>
      <c r="E47" s="17"/>
      <c r="F47" s="17"/>
      <c r="G47" s="17"/>
      <c r="H47" s="17"/>
      <c r="I47" s="17"/>
      <c r="J47" s="17"/>
      <c r="K47" s="17"/>
      <c r="L47" s="17"/>
      <c r="M47" s="17"/>
      <c r="N47" s="17"/>
      <c r="O47" s="32"/>
      <c r="P47" s="32"/>
    </row>
    <row r="48" spans="2:16" ht="16.5" customHeight="1" thickTop="1">
      <c r="B48" s="19" t="s">
        <v>14</v>
      </c>
      <c r="C48" s="18"/>
      <c r="D48" s="18"/>
      <c r="E48" s="18"/>
      <c r="F48" s="18"/>
      <c r="G48" s="18"/>
      <c r="H48" s="18"/>
      <c r="I48" s="18"/>
      <c r="J48" s="18"/>
      <c r="K48" s="18"/>
      <c r="L48" s="18"/>
      <c r="M48" s="18"/>
      <c r="N48" s="18"/>
      <c r="O48" s="33"/>
      <c r="P48" s="33"/>
    </row>
    <row r="49" spans="2:16" ht="16.5" customHeight="1">
      <c r="B49" s="25" t="s">
        <v>51</v>
      </c>
      <c r="C49" s="26">
        <v>600</v>
      </c>
      <c r="D49" s="26">
        <v>600</v>
      </c>
      <c r="E49" s="26">
        <v>600</v>
      </c>
      <c r="F49" s="26">
        <v>600</v>
      </c>
      <c r="G49" s="26">
        <v>600</v>
      </c>
      <c r="H49" s="26">
        <v>600</v>
      </c>
      <c r="I49" s="26">
        <v>600</v>
      </c>
      <c r="J49" s="26">
        <v>600</v>
      </c>
      <c r="K49" s="26">
        <v>600</v>
      </c>
      <c r="L49" s="26">
        <v>600</v>
      </c>
      <c r="M49" s="26">
        <v>600</v>
      </c>
      <c r="N49" s="26">
        <v>600</v>
      </c>
      <c r="O49" s="29">
        <f>SUM(tblСтатьяРасходов_04[[#This Row],[jan]:[dec]])</f>
        <v>7200</v>
      </c>
      <c r="P49" s="29">
        <f>tblСтатьяРасходов_04[[#This Row],[year]]/12</f>
        <v>600</v>
      </c>
    </row>
    <row r="50" spans="2:16" ht="16.5" customHeight="1">
      <c r="B50" s="25" t="s">
        <v>52</v>
      </c>
      <c r="C50" s="26">
        <v>325</v>
      </c>
      <c r="D50" s="26">
        <v>325</v>
      </c>
      <c r="E50" s="26">
        <v>325</v>
      </c>
      <c r="F50" s="26">
        <v>325</v>
      </c>
      <c r="G50" s="26">
        <v>325</v>
      </c>
      <c r="H50" s="26">
        <v>500</v>
      </c>
      <c r="I50" s="26">
        <v>500</v>
      </c>
      <c r="J50" s="26">
        <v>500</v>
      </c>
      <c r="K50" s="26">
        <v>325</v>
      </c>
      <c r="L50" s="26">
        <v>325</v>
      </c>
      <c r="M50" s="26">
        <v>325</v>
      </c>
      <c r="N50" s="26">
        <v>325</v>
      </c>
      <c r="O50" s="29">
        <f>SUM(tblСтатьяРасходов_04[[#This Row],[jan]:[dec]])</f>
        <v>4425</v>
      </c>
      <c r="P50" s="29">
        <f>tblСтатьяРасходов_04[[#This Row],[year]]/12</f>
        <v>368.75</v>
      </c>
    </row>
    <row r="51" spans="2:16" ht="16.5" customHeight="1">
      <c r="B51" s="25" t="s">
        <v>54</v>
      </c>
      <c r="C51" s="26"/>
      <c r="D51" s="26">
        <v>100</v>
      </c>
      <c r="E51" s="26"/>
      <c r="F51" s="26">
        <v>100</v>
      </c>
      <c r="G51" s="26"/>
      <c r="H51" s="26">
        <v>100</v>
      </c>
      <c r="I51" s="26"/>
      <c r="J51" s="26">
        <v>100</v>
      </c>
      <c r="K51" s="26"/>
      <c r="L51" s="26">
        <v>100</v>
      </c>
      <c r="M51" s="26"/>
      <c r="N51" s="26"/>
      <c r="O51" s="29">
        <f>SUM(tblСтатьяРасходов_04[[#This Row],[jan]:[dec]])</f>
        <v>500</v>
      </c>
      <c r="P51" s="29">
        <f>tblСтатьяРасходов_04[[#This Row],[year]]/12</f>
        <v>41.666666666666664</v>
      </c>
    </row>
    <row r="52" spans="2:16" ht="16.5" customHeight="1">
      <c r="B52" s="25" t="s">
        <v>55</v>
      </c>
      <c r="C52" s="26">
        <v>185</v>
      </c>
      <c r="D52" s="26"/>
      <c r="E52" s="26"/>
      <c r="F52" s="26"/>
      <c r="G52" s="26"/>
      <c r="H52" s="26"/>
      <c r="I52" s="26"/>
      <c r="J52" s="26"/>
      <c r="K52" s="26">
        <v>225</v>
      </c>
      <c r="L52" s="26"/>
      <c r="M52" s="26"/>
      <c r="N52" s="26"/>
      <c r="O52" s="29">
        <f>SUM(tblСтатьяРасходов_04[[#This Row],[jan]:[dec]])</f>
        <v>410</v>
      </c>
      <c r="P52" s="29">
        <f>tblСтатьяРасходов_04[[#This Row],[year]]/12</f>
        <v>34.166666666666664</v>
      </c>
    </row>
    <row r="53" spans="2:16" ht="16.5" customHeight="1">
      <c r="B53" s="25" t="s">
        <v>8</v>
      </c>
      <c r="C53" s="26"/>
      <c r="D53" s="26"/>
      <c r="E53" s="26"/>
      <c r="F53" s="26"/>
      <c r="G53" s="26">
        <v>400</v>
      </c>
      <c r="H53" s="26"/>
      <c r="I53" s="26"/>
      <c r="J53" s="26"/>
      <c r="K53" s="26"/>
      <c r="L53" s="26"/>
      <c r="M53" s="26"/>
      <c r="N53" s="26"/>
      <c r="O53" s="29">
        <f>SUM(tblСтатьяРасходов_04[[#This Row],[jan]:[dec]])</f>
        <v>400</v>
      </c>
      <c r="P53" s="29">
        <f>tblСтатьяРасходов_04[[#This Row],[year]]/12</f>
        <v>33.333333333333336</v>
      </c>
    </row>
    <row r="54" spans="2:16" ht="16.5" customHeight="1">
      <c r="B54" s="25" t="str">
        <f>UPPER("ВСЕГО: " &amp; B48)</f>
        <v>ВСЕГО: ТРАНСПОРТ</v>
      </c>
      <c r="C54" s="26">
        <f>SUM(tblСтатьяРасходов_04[jan])</f>
        <v>1110</v>
      </c>
      <c r="D54" s="26">
        <f>SUM(tblСтатьяРасходов_04[feb])</f>
        <v>1025</v>
      </c>
      <c r="E54" s="26">
        <f>SUM(tblСтатьяРасходов_04[mar])</f>
        <v>925</v>
      </c>
      <c r="F54" s="26">
        <f>SUM(tblСтатьяРасходов_04[apr])</f>
        <v>1025</v>
      </c>
      <c r="G54" s="26">
        <f>SUM(tblСтатьяРасходов_04[may])</f>
        <v>1325</v>
      </c>
      <c r="H54" s="26">
        <f>SUM(tblСтатьяРасходов_04[jun])</f>
        <v>1200</v>
      </c>
      <c r="I54" s="26">
        <f>SUM(tblСтатьяРасходов_04[jul])</f>
        <v>1100</v>
      </c>
      <c r="J54" s="26">
        <f>SUM(tblСтатьяРасходов_04[aug])</f>
        <v>1200</v>
      </c>
      <c r="K54" s="26">
        <f>SUM(tblСтатьяРасходов_04[sep])</f>
        <v>1150</v>
      </c>
      <c r="L54" s="26">
        <f>SUM(tblСтатьяРасходов_04[oct])</f>
        <v>1025</v>
      </c>
      <c r="M54" s="26">
        <f>SUM(tblСтатьяРасходов_04[nov])</f>
        <v>925</v>
      </c>
      <c r="N54" s="26">
        <f>SUM(tblСтатьяРасходов_04[dec])</f>
        <v>925</v>
      </c>
      <c r="O54" s="29">
        <f>SUM(tblСтатьяРасходов_04[year])</f>
        <v>12935</v>
      </c>
      <c r="P54" s="29">
        <f>tblСтатьяРасходов_04[[#Totals],[year]]/12</f>
        <v>1077.9166666666667</v>
      </c>
    </row>
    <row r="55" spans="2:16" ht="16.5" customHeight="1">
      <c r="B55" s="39"/>
      <c r="C55" s="39"/>
      <c r="D55" s="39"/>
      <c r="E55" s="39"/>
      <c r="F55" s="39"/>
      <c r="G55" s="39"/>
      <c r="H55" s="39"/>
      <c r="I55" s="39"/>
      <c r="J55" s="39"/>
      <c r="K55" s="39"/>
      <c r="L55" s="39"/>
      <c r="M55" s="39"/>
      <c r="N55" s="39"/>
      <c r="O55" s="32"/>
      <c r="P55" s="32"/>
    </row>
    <row r="56" spans="2:16" ht="16.5" customHeight="1" thickBot="1">
      <c r="B56" s="14"/>
      <c r="C56" s="17"/>
      <c r="D56" s="17"/>
      <c r="E56" s="17"/>
      <c r="F56" s="17"/>
      <c r="G56" s="17"/>
      <c r="H56" s="17"/>
      <c r="I56" s="17"/>
      <c r="J56" s="17"/>
      <c r="K56" s="17"/>
      <c r="L56" s="17"/>
      <c r="M56" s="17"/>
      <c r="N56" s="17"/>
      <c r="O56" s="32"/>
      <c r="P56" s="32"/>
    </row>
    <row r="57" spans="2:16" ht="16.5" customHeight="1" thickTop="1">
      <c r="B57" s="19" t="s">
        <v>15</v>
      </c>
      <c r="C57" s="18"/>
      <c r="D57" s="18"/>
      <c r="E57" s="18"/>
      <c r="F57" s="18"/>
      <c r="G57" s="18"/>
      <c r="H57" s="18"/>
      <c r="I57" s="18"/>
      <c r="J57" s="18"/>
      <c r="K57" s="18"/>
      <c r="L57" s="18"/>
      <c r="M57" s="18"/>
      <c r="N57" s="18"/>
      <c r="O57" s="33"/>
      <c r="P57" s="33"/>
    </row>
    <row r="58" spans="2:16" ht="16.5" customHeight="1">
      <c r="B58" s="25" t="s">
        <v>56</v>
      </c>
      <c r="C58" s="26"/>
      <c r="D58" s="26">
        <v>35</v>
      </c>
      <c r="E58" s="26"/>
      <c r="F58" s="26"/>
      <c r="G58" s="26">
        <v>35</v>
      </c>
      <c r="H58" s="26">
        <v>35</v>
      </c>
      <c r="I58" s="26">
        <v>35</v>
      </c>
      <c r="J58" s="26"/>
      <c r="K58" s="26"/>
      <c r="L58" s="26">
        <v>35</v>
      </c>
      <c r="M58" s="26"/>
      <c r="N58" s="26"/>
      <c r="O58" s="29">
        <f>SUM(tblСтатьяРасходов_05[[#This Row],[jan]:[dec]])</f>
        <v>175</v>
      </c>
      <c r="P58" s="29">
        <f>tblСтатьяРасходов_05[[#This Row],[year]]/12</f>
        <v>14.583333333333334</v>
      </c>
    </row>
    <row r="59" spans="2:16" ht="16.5" customHeight="1">
      <c r="B59" s="25" t="s">
        <v>57</v>
      </c>
      <c r="C59" s="26">
        <v>25</v>
      </c>
      <c r="D59" s="26">
        <v>25</v>
      </c>
      <c r="E59" s="26">
        <v>25</v>
      </c>
      <c r="F59" s="26">
        <v>25</v>
      </c>
      <c r="G59" s="26">
        <v>25</v>
      </c>
      <c r="H59" s="26">
        <v>25</v>
      </c>
      <c r="I59" s="26">
        <v>25</v>
      </c>
      <c r="J59" s="26">
        <v>25</v>
      </c>
      <c r="K59" s="26">
        <v>25</v>
      </c>
      <c r="L59" s="26">
        <v>25</v>
      </c>
      <c r="M59" s="26">
        <v>25</v>
      </c>
      <c r="N59" s="26">
        <v>25</v>
      </c>
      <c r="O59" s="29">
        <f>SUM(tblСтатьяРасходов_05[[#This Row],[jan]:[dec]])</f>
        <v>300</v>
      </c>
      <c r="P59" s="29">
        <f>tblСтатьяРасходов_05[[#This Row],[year]]/12</f>
        <v>25</v>
      </c>
    </row>
    <row r="60" spans="2:16" ht="16.5" customHeight="1">
      <c r="B60" s="25" t="s">
        <v>8</v>
      </c>
      <c r="C60" s="26"/>
      <c r="D60" s="26"/>
      <c r="E60" s="26">
        <v>150</v>
      </c>
      <c r="F60" s="26"/>
      <c r="G60" s="26"/>
      <c r="H60" s="26"/>
      <c r="I60" s="26"/>
      <c r="J60" s="26"/>
      <c r="K60" s="26">
        <v>150</v>
      </c>
      <c r="L60" s="26"/>
      <c r="M60" s="26"/>
      <c r="N60" s="26"/>
      <c r="O60" s="29">
        <f>SUM(tblСтатьяРасходов_05[[#This Row],[jan]:[dec]])</f>
        <v>300</v>
      </c>
      <c r="P60" s="29">
        <f>tblСтатьяРасходов_05[[#This Row],[year]]/12</f>
        <v>25</v>
      </c>
    </row>
    <row r="61" spans="2:16" ht="16.5" customHeight="1">
      <c r="B61" s="25" t="str">
        <f>UPPER("ВСЕГО: " &amp; B57)</f>
        <v>ВСЕГО: ЗДОРОВЬЕ</v>
      </c>
      <c r="C61" s="26">
        <f>SUM(tblСтатьяРасходов_05[jan])</f>
        <v>25</v>
      </c>
      <c r="D61" s="26">
        <f>SUM(tblСтатьяРасходов_05[feb])</f>
        <v>60</v>
      </c>
      <c r="E61" s="26">
        <f>SUM(tblСтатьяРасходов_05[mar])</f>
        <v>175</v>
      </c>
      <c r="F61" s="26">
        <f>SUM(tblСтатьяРасходов_05[apr])</f>
        <v>25</v>
      </c>
      <c r="G61" s="26">
        <f>SUM(tblСтатьяРасходов_05[may])</f>
        <v>60</v>
      </c>
      <c r="H61" s="26">
        <f>SUM(tblСтатьяРасходов_05[jun])</f>
        <v>60</v>
      </c>
      <c r="I61" s="26">
        <f>SUM(tblСтатьяРасходов_05[jul])</f>
        <v>60</v>
      </c>
      <c r="J61" s="26">
        <f>SUM(tblСтатьяРасходов_05[aug])</f>
        <v>25</v>
      </c>
      <c r="K61" s="26">
        <f>SUM(tblСтатьяРасходов_05[sep])</f>
        <v>175</v>
      </c>
      <c r="L61" s="26">
        <f>SUM(tblСтатьяРасходов_05[oct])</f>
        <v>60</v>
      </c>
      <c r="M61" s="26">
        <f>SUM(tblСтатьяРасходов_05[nov])</f>
        <v>25</v>
      </c>
      <c r="N61" s="26">
        <f>SUM(tblСтатьяРасходов_05[dec])</f>
        <v>25</v>
      </c>
      <c r="O61" s="29">
        <f>SUM(tblСтатьяРасходов_05[year])</f>
        <v>775</v>
      </c>
      <c r="P61" s="29">
        <f>tblСтатьяРасходов_05[[#Totals],[year]]/12</f>
        <v>64.583333333333329</v>
      </c>
    </row>
    <row r="62" spans="2:16" ht="16.5" customHeight="1">
      <c r="B62" s="39"/>
      <c r="C62" s="39"/>
      <c r="D62" s="39"/>
      <c r="E62" s="39"/>
      <c r="F62" s="39"/>
      <c r="G62" s="39"/>
      <c r="H62" s="39"/>
      <c r="I62" s="39"/>
      <c r="J62" s="39"/>
      <c r="K62" s="39"/>
      <c r="L62" s="39"/>
      <c r="M62" s="39"/>
      <c r="N62" s="39"/>
      <c r="O62" s="32"/>
      <c r="P62" s="32"/>
    </row>
    <row r="63" spans="2:16" ht="16.5" customHeight="1" thickBot="1">
      <c r="B63" s="14"/>
      <c r="C63" s="17"/>
      <c r="D63" s="17"/>
      <c r="E63" s="17"/>
      <c r="F63" s="17"/>
      <c r="G63" s="17"/>
      <c r="H63" s="17"/>
      <c r="I63" s="17"/>
      <c r="J63" s="17"/>
      <c r="K63" s="17"/>
      <c r="L63" s="17"/>
      <c r="M63" s="17"/>
      <c r="N63" s="17"/>
      <c r="O63" s="32"/>
      <c r="P63" s="32"/>
    </row>
    <row r="64" spans="2:16" ht="16.5" customHeight="1" thickTop="1">
      <c r="B64" s="19" t="s">
        <v>16</v>
      </c>
      <c r="C64" s="18"/>
      <c r="D64" s="18"/>
      <c r="E64" s="18"/>
      <c r="F64" s="18"/>
      <c r="G64" s="18"/>
      <c r="H64" s="18"/>
      <c r="I64" s="18"/>
      <c r="J64" s="18"/>
      <c r="K64" s="18"/>
      <c r="L64" s="18"/>
      <c r="M64" s="18"/>
      <c r="N64" s="18"/>
      <c r="O64" s="33"/>
      <c r="P64" s="33"/>
    </row>
    <row r="65" spans="2:16" ht="16.5" customHeight="1">
      <c r="B65" s="25" t="s">
        <v>59</v>
      </c>
      <c r="C65" s="26">
        <v>150</v>
      </c>
      <c r="D65" s="26">
        <v>150</v>
      </c>
      <c r="E65" s="26">
        <v>150</v>
      </c>
      <c r="F65" s="26">
        <v>150</v>
      </c>
      <c r="G65" s="26">
        <v>150</v>
      </c>
      <c r="H65" s="26">
        <v>150</v>
      </c>
      <c r="I65" s="26">
        <v>150</v>
      </c>
      <c r="J65" s="26">
        <v>150</v>
      </c>
      <c r="K65" s="26">
        <v>150</v>
      </c>
      <c r="L65" s="26">
        <v>150</v>
      </c>
      <c r="M65" s="26">
        <v>150</v>
      </c>
      <c r="N65" s="26">
        <v>150</v>
      </c>
      <c r="O65" s="29">
        <f>SUM(tblСтатьяРасходов_06[[#This Row],[jan]:[dec]])</f>
        <v>1800</v>
      </c>
      <c r="P65" s="29">
        <f>tblСтатьяРасходов_06[[#This Row],[year]]/12</f>
        <v>150</v>
      </c>
    </row>
    <row r="66" spans="2:16" ht="16.5" customHeight="1">
      <c r="B66" s="25" t="s">
        <v>15</v>
      </c>
      <c r="C66" s="26">
        <v>675</v>
      </c>
      <c r="D66" s="26">
        <v>675</v>
      </c>
      <c r="E66" s="26">
        <v>675</v>
      </c>
      <c r="F66" s="26">
        <v>675</v>
      </c>
      <c r="G66" s="26">
        <v>675</v>
      </c>
      <c r="H66" s="26">
        <v>675</v>
      </c>
      <c r="I66" s="26">
        <v>675</v>
      </c>
      <c r="J66" s="26">
        <v>675</v>
      </c>
      <c r="K66" s="26">
        <v>675</v>
      </c>
      <c r="L66" s="26">
        <v>675</v>
      </c>
      <c r="M66" s="26">
        <v>675</v>
      </c>
      <c r="N66" s="26">
        <v>675</v>
      </c>
      <c r="O66" s="29">
        <f>SUM(tblСтатьяРасходов_06[[#This Row],[jan]:[dec]])</f>
        <v>8100</v>
      </c>
      <c r="P66" s="29">
        <f>tblСтатьяРасходов_06[[#This Row],[year]]/12</f>
        <v>675</v>
      </c>
    </row>
    <row r="67" spans="2:16" ht="16.5" customHeight="1">
      <c r="B67" s="25" t="s">
        <v>61</v>
      </c>
      <c r="C67" s="26">
        <v>150</v>
      </c>
      <c r="D67" s="26">
        <v>150</v>
      </c>
      <c r="E67" s="26">
        <v>150</v>
      </c>
      <c r="F67" s="26">
        <v>150</v>
      </c>
      <c r="G67" s="26">
        <v>150</v>
      </c>
      <c r="H67" s="26">
        <v>150</v>
      </c>
      <c r="I67" s="26">
        <v>150</v>
      </c>
      <c r="J67" s="26">
        <v>150</v>
      </c>
      <c r="K67" s="26">
        <v>150</v>
      </c>
      <c r="L67" s="26">
        <v>150</v>
      </c>
      <c r="M67" s="26">
        <v>150</v>
      </c>
      <c r="N67" s="26">
        <v>150</v>
      </c>
      <c r="O67" s="29">
        <f>SUM(tblСтатьяРасходов_06[[#This Row],[jan]:[dec]])</f>
        <v>1800</v>
      </c>
      <c r="P67" s="29">
        <f>tblСтатьяРасходов_06[[#This Row],[year]]/12</f>
        <v>150</v>
      </c>
    </row>
    <row r="68" spans="2:16" ht="16.5" customHeight="1">
      <c r="B68" s="25" t="str">
        <f>UPPER("ВСЕГО: " &amp; B64)</f>
        <v>ВСЕГО: СТРАХОВКА</v>
      </c>
      <c r="C68" s="26">
        <f>SUM(tblСтатьяРасходов_06[jan])</f>
        <v>975</v>
      </c>
      <c r="D68" s="26">
        <f>SUM(tblСтатьяРасходов_06[feb])</f>
        <v>975</v>
      </c>
      <c r="E68" s="26">
        <f>SUM(tblСтатьяРасходов_06[mar])</f>
        <v>975</v>
      </c>
      <c r="F68" s="26">
        <f>SUM(tblСтатьяРасходов_06[apr])</f>
        <v>975</v>
      </c>
      <c r="G68" s="26">
        <f>SUM(tblСтатьяРасходов_06[may])</f>
        <v>975</v>
      </c>
      <c r="H68" s="26">
        <f>SUM(tblСтатьяРасходов_06[jun])</f>
        <v>975</v>
      </c>
      <c r="I68" s="26">
        <f>SUM(tblСтатьяРасходов_06[jul])</f>
        <v>975</v>
      </c>
      <c r="J68" s="26">
        <f>SUM(tblСтатьяРасходов_06[aug])</f>
        <v>975</v>
      </c>
      <c r="K68" s="26">
        <f>SUM(tblСтатьяРасходов_06[sep])</f>
        <v>975</v>
      </c>
      <c r="L68" s="26">
        <f>SUM(tblСтатьяРасходов_06[oct])</f>
        <v>975</v>
      </c>
      <c r="M68" s="26">
        <f>SUM(tblСтатьяРасходов_06[nov])</f>
        <v>975</v>
      </c>
      <c r="N68" s="26">
        <f>SUM(tblСтатьяРасходов_06[dec])</f>
        <v>975</v>
      </c>
      <c r="O68" s="29">
        <f>SUM(tblСтатьяРасходов_06[year])</f>
        <v>11700</v>
      </c>
      <c r="P68" s="29">
        <f>tblСтатьяРасходов_06[[#Totals],[year]]/12</f>
        <v>975</v>
      </c>
    </row>
    <row r="69" spans="2:16" ht="16.5" customHeight="1">
      <c r="B69" s="39"/>
      <c r="C69" s="39"/>
      <c r="D69" s="39"/>
      <c r="E69" s="39"/>
      <c r="F69" s="39"/>
      <c r="G69" s="39"/>
      <c r="H69" s="39"/>
      <c r="I69" s="39"/>
      <c r="J69" s="39"/>
      <c r="K69" s="39"/>
      <c r="L69" s="39"/>
      <c r="M69" s="39"/>
      <c r="N69" s="39"/>
      <c r="O69" s="32"/>
      <c r="P69" s="32"/>
    </row>
    <row r="70" spans="2:16" ht="16.5" customHeight="1" thickBot="1">
      <c r="B70" s="14"/>
      <c r="C70" s="17"/>
      <c r="D70" s="17"/>
      <c r="E70" s="17"/>
      <c r="F70" s="17"/>
      <c r="G70" s="17"/>
      <c r="H70" s="17"/>
      <c r="I70" s="17"/>
      <c r="J70" s="17"/>
      <c r="K70" s="17"/>
      <c r="L70" s="17"/>
      <c r="M70" s="17"/>
      <c r="N70" s="17"/>
      <c r="O70" s="32"/>
      <c r="P70" s="32"/>
    </row>
    <row r="71" spans="2:16" ht="16.5" customHeight="1" thickTop="1">
      <c r="B71" s="19" t="s">
        <v>17</v>
      </c>
      <c r="C71" s="18"/>
      <c r="D71" s="18"/>
      <c r="E71" s="18"/>
      <c r="F71" s="18"/>
      <c r="G71" s="18"/>
      <c r="H71" s="18"/>
      <c r="I71" s="18"/>
      <c r="J71" s="18"/>
      <c r="K71" s="18"/>
      <c r="L71" s="18"/>
      <c r="M71" s="18"/>
      <c r="N71" s="18"/>
      <c r="O71" s="33"/>
      <c r="P71" s="33"/>
    </row>
    <row r="72" spans="2:16" ht="16.5" customHeight="1">
      <c r="B72" s="25" t="s">
        <v>62</v>
      </c>
      <c r="C72" s="26"/>
      <c r="D72" s="26"/>
      <c r="E72" s="26">
        <v>400</v>
      </c>
      <c r="F72" s="26"/>
      <c r="G72" s="26"/>
      <c r="H72" s="26"/>
      <c r="I72" s="26"/>
      <c r="J72" s="26"/>
      <c r="K72" s="26">
        <v>400</v>
      </c>
      <c r="L72" s="26"/>
      <c r="M72" s="26"/>
      <c r="N72" s="26"/>
      <c r="O72" s="29">
        <f>SUM(tblСтатьяРасходов_07[[#This Row],[jan]:[dec]])</f>
        <v>800</v>
      </c>
      <c r="P72" s="29">
        <f>tblСтатьяРасходов_07[[#This Row],[year]]/12</f>
        <v>66.666666666666671</v>
      </c>
    </row>
    <row r="73" spans="2:16" ht="16.5" customHeight="1">
      <c r="B73" s="25" t="s">
        <v>63</v>
      </c>
      <c r="C73" s="26"/>
      <c r="D73" s="26"/>
      <c r="E73" s="26">
        <v>225</v>
      </c>
      <c r="F73" s="26"/>
      <c r="G73" s="26"/>
      <c r="H73" s="26"/>
      <c r="I73" s="26"/>
      <c r="J73" s="26"/>
      <c r="K73" s="26">
        <v>225</v>
      </c>
      <c r="L73" s="26"/>
      <c r="M73" s="26"/>
      <c r="N73" s="26"/>
      <c r="O73" s="29">
        <f>SUM(tblСтатьяРасходов_07[[#This Row],[jan]:[dec]])</f>
        <v>450</v>
      </c>
      <c r="P73" s="29">
        <f>tblСтатьяРасходов_07[[#This Row],[year]]/12</f>
        <v>37.5</v>
      </c>
    </row>
    <row r="74" spans="2:16" ht="16.5" customHeight="1">
      <c r="B74" s="25" t="s">
        <v>8</v>
      </c>
      <c r="C74" s="26"/>
      <c r="D74" s="26"/>
      <c r="E74" s="26"/>
      <c r="F74" s="26"/>
      <c r="G74" s="26"/>
      <c r="H74" s="26"/>
      <c r="I74" s="26"/>
      <c r="J74" s="26"/>
      <c r="K74" s="26"/>
      <c r="L74" s="26"/>
      <c r="M74" s="26"/>
      <c r="N74" s="26"/>
      <c r="O74" s="29">
        <f>SUM(tblСтатьяРасходов_07[[#This Row],[jan]:[dec]])</f>
        <v>0</v>
      </c>
      <c r="P74" s="29">
        <f>tblСтатьяРасходов_07[[#This Row],[year]]/12</f>
        <v>0</v>
      </c>
    </row>
    <row r="75" spans="2:16" ht="16.5" customHeight="1">
      <c r="B75" s="25" t="str">
        <f>UPPER("ВСЕГО: " &amp; B71)</f>
        <v>ВСЕГО: ОБРАЗОВАНИЕ</v>
      </c>
      <c r="C75" s="26">
        <f>SUM(tblСтатьяРасходов_07[jan])</f>
        <v>0</v>
      </c>
      <c r="D75" s="26">
        <f>SUM(tblСтатьяРасходов_07[feb])</f>
        <v>0</v>
      </c>
      <c r="E75" s="26">
        <f>SUM(tblСтатьяРасходов_07[mar])</f>
        <v>625</v>
      </c>
      <c r="F75" s="26">
        <f>SUM(tblСтатьяРасходов_07[apr])</f>
        <v>0</v>
      </c>
      <c r="G75" s="26">
        <f>SUM(tblСтатьяРасходов_07[may])</f>
        <v>0</v>
      </c>
      <c r="H75" s="26">
        <f>SUM(tblСтатьяРасходов_07[jun])</f>
        <v>0</v>
      </c>
      <c r="I75" s="26">
        <f>SUM(tblСтатьяРасходов_07[jul])</f>
        <v>0</v>
      </c>
      <c r="J75" s="26">
        <f>SUM(tblСтатьяРасходов_07[aug])</f>
        <v>0</v>
      </c>
      <c r="K75" s="26">
        <f>SUM(tblСтатьяРасходов_07[sep])</f>
        <v>625</v>
      </c>
      <c r="L75" s="26">
        <f>SUM(tblСтатьяРасходов_07[oct])</f>
        <v>0</v>
      </c>
      <c r="M75" s="26">
        <f>SUM(tblСтатьяРасходов_07[nov])</f>
        <v>0</v>
      </c>
      <c r="N75" s="26">
        <f>SUM(tblСтатьяРасходов_07[dec])</f>
        <v>0</v>
      </c>
      <c r="O75" s="29">
        <f>SUM(tblСтатьяРасходов_07[year])</f>
        <v>1250</v>
      </c>
      <c r="P75" s="29">
        <f>tblСтатьяРасходов_07[[#Totals],[year]]/12</f>
        <v>104.16666666666667</v>
      </c>
    </row>
    <row r="76" spans="2:16" ht="16.5" customHeight="1">
      <c r="B76" s="39"/>
      <c r="C76" s="39"/>
      <c r="D76" s="39"/>
      <c r="E76" s="39"/>
      <c r="F76" s="39"/>
      <c r="G76" s="39"/>
      <c r="H76" s="39"/>
      <c r="I76" s="39"/>
      <c r="J76" s="39"/>
      <c r="K76" s="39"/>
      <c r="L76" s="39"/>
      <c r="M76" s="39"/>
      <c r="N76" s="39"/>
      <c r="O76" s="32"/>
      <c r="P76" s="32"/>
    </row>
    <row r="77" spans="2:16" ht="16.5" customHeight="1" thickBot="1">
      <c r="B77" s="14"/>
      <c r="C77" s="17"/>
      <c r="D77" s="17"/>
      <c r="E77" s="17"/>
      <c r="F77" s="17"/>
      <c r="G77" s="17"/>
      <c r="H77" s="17"/>
      <c r="I77" s="17"/>
      <c r="J77" s="17"/>
      <c r="K77" s="17"/>
      <c r="L77" s="17"/>
      <c r="M77" s="17"/>
      <c r="N77" s="17"/>
      <c r="O77" s="32"/>
      <c r="P77" s="32"/>
    </row>
    <row r="78" spans="2:16" ht="16.5" customHeight="1" thickTop="1">
      <c r="B78" s="19" t="s">
        <v>18</v>
      </c>
      <c r="C78" s="18"/>
      <c r="D78" s="18"/>
      <c r="E78" s="18"/>
      <c r="F78" s="18"/>
      <c r="G78" s="18"/>
      <c r="H78" s="18"/>
      <c r="I78" s="18"/>
      <c r="J78" s="18"/>
      <c r="K78" s="18"/>
      <c r="L78" s="18"/>
      <c r="M78" s="18"/>
      <c r="N78" s="18"/>
      <c r="O78" s="33"/>
      <c r="P78" s="33"/>
    </row>
    <row r="79" spans="2:16" ht="16.5" customHeight="1">
      <c r="B79" s="25" t="s">
        <v>65</v>
      </c>
      <c r="C79" s="26"/>
      <c r="D79" s="26">
        <v>100</v>
      </c>
      <c r="E79" s="26"/>
      <c r="F79" s="26"/>
      <c r="G79" s="26"/>
      <c r="H79" s="26">
        <v>100</v>
      </c>
      <c r="I79" s="26"/>
      <c r="J79" s="26"/>
      <c r="K79" s="26"/>
      <c r="L79" s="26">
        <v>100</v>
      </c>
      <c r="M79" s="26"/>
      <c r="N79" s="26"/>
      <c r="O79" s="29">
        <f>SUM(tblСтатьяРасходов_08[[#This Row],[jan]:[dec]])</f>
        <v>300</v>
      </c>
      <c r="P79" s="29">
        <f>tblСтатьяРасходов_08[[#This Row],[year]]/12</f>
        <v>25</v>
      </c>
    </row>
    <row r="80" spans="2:16" ht="16.5" customHeight="1">
      <c r="B80" s="25" t="s">
        <v>67</v>
      </c>
      <c r="C80" s="26"/>
      <c r="D80" s="26"/>
      <c r="E80" s="26">
        <v>100</v>
      </c>
      <c r="F80" s="26"/>
      <c r="G80" s="26">
        <v>100</v>
      </c>
      <c r="H80" s="26"/>
      <c r="I80" s="26">
        <v>100</v>
      </c>
      <c r="J80" s="26"/>
      <c r="K80" s="26">
        <v>100</v>
      </c>
      <c r="L80" s="26"/>
      <c r="M80" s="26">
        <v>100</v>
      </c>
      <c r="N80" s="26"/>
      <c r="O80" s="29">
        <f>SUM(tblСтатьяРасходов_08[[#This Row],[jan]:[dec]])</f>
        <v>500</v>
      </c>
      <c r="P80" s="29">
        <f>tblСтатьяРасходов_08[[#This Row],[year]]/12</f>
        <v>41.666666666666664</v>
      </c>
    </row>
    <row r="81" spans="2:16" ht="16.5" customHeight="1">
      <c r="B81" s="25" t="s">
        <v>8</v>
      </c>
      <c r="C81" s="26"/>
      <c r="D81" s="26"/>
      <c r="E81" s="26"/>
      <c r="F81" s="26">
        <v>100</v>
      </c>
      <c r="G81" s="26"/>
      <c r="H81" s="26"/>
      <c r="I81" s="26"/>
      <c r="J81" s="26">
        <v>100</v>
      </c>
      <c r="K81" s="26"/>
      <c r="L81" s="26"/>
      <c r="M81" s="26"/>
      <c r="N81" s="26">
        <v>100</v>
      </c>
      <c r="O81" s="29">
        <f>SUM(tblСтатьяРасходов_08[[#This Row],[jan]:[dec]])</f>
        <v>300</v>
      </c>
      <c r="P81" s="29">
        <f>tblСтатьяРасходов_08[[#This Row],[year]]/12</f>
        <v>25</v>
      </c>
    </row>
    <row r="82" spans="2:16" ht="16.5" customHeight="1">
      <c r="B82" s="25" t="str">
        <f>UPPER("ВСЕГО: " &amp; B78)</f>
        <v>ВСЕГО: БЛАГОТВОРИТЕЛЬНОСТЬ</v>
      </c>
      <c r="C82" s="26">
        <f>SUM(tblСтатьяРасходов_08[jan])</f>
        <v>0</v>
      </c>
      <c r="D82" s="26">
        <f>SUM(tblСтатьяРасходов_08[feb])</f>
        <v>100</v>
      </c>
      <c r="E82" s="26">
        <f>SUM(tblСтатьяРасходов_08[mar])</f>
        <v>100</v>
      </c>
      <c r="F82" s="26">
        <f>SUM(tblСтатьяРасходов_08[apr])</f>
        <v>100</v>
      </c>
      <c r="G82" s="26">
        <f>SUM(tblСтатьяРасходов_08[may])</f>
        <v>100</v>
      </c>
      <c r="H82" s="26">
        <f>SUM(tblСтатьяРасходов_08[jun])</f>
        <v>100</v>
      </c>
      <c r="I82" s="26">
        <f>SUM(tblСтатьяРасходов_08[jul])</f>
        <v>100</v>
      </c>
      <c r="J82" s="26">
        <f>SUM(tblСтатьяРасходов_08[aug])</f>
        <v>100</v>
      </c>
      <c r="K82" s="26">
        <f>SUM(tblСтатьяРасходов_08[sep])</f>
        <v>100</v>
      </c>
      <c r="L82" s="26">
        <f>SUM(tblСтатьяРасходов_08[oct])</f>
        <v>100</v>
      </c>
      <c r="M82" s="26">
        <f>SUM(tblСтатьяРасходов_08[nov])</f>
        <v>100</v>
      </c>
      <c r="N82" s="26">
        <f>SUM(tblСтатьяРасходов_08[dec])</f>
        <v>100</v>
      </c>
      <c r="O82" s="29">
        <f>SUM(tblСтатьяРасходов_08[year])</f>
        <v>1100</v>
      </c>
      <c r="P82" s="29">
        <f>tblСтатьяРасходов_08[[#Totals],[year]]/12</f>
        <v>91.666666666666671</v>
      </c>
    </row>
    <row r="83" spans="2:16" ht="16.5" customHeight="1">
      <c r="B83" s="39"/>
      <c r="C83" s="39"/>
      <c r="D83" s="39"/>
      <c r="E83" s="39"/>
      <c r="F83" s="39"/>
      <c r="G83" s="39"/>
      <c r="H83" s="39"/>
      <c r="I83" s="39"/>
      <c r="J83" s="39"/>
      <c r="K83" s="39"/>
      <c r="L83" s="39"/>
      <c r="M83" s="39"/>
      <c r="N83" s="39"/>
      <c r="O83" s="32"/>
      <c r="P83" s="32"/>
    </row>
    <row r="84" spans="2:16" ht="16.5" customHeight="1" thickBot="1">
      <c r="B84" s="14"/>
      <c r="C84" s="17"/>
      <c r="D84" s="17"/>
      <c r="E84" s="17"/>
      <c r="F84" s="17"/>
      <c r="G84" s="17"/>
      <c r="H84" s="17"/>
      <c r="I84" s="17"/>
      <c r="J84" s="17"/>
      <c r="K84" s="17"/>
      <c r="L84" s="17"/>
      <c r="M84" s="17"/>
      <c r="N84" s="17"/>
      <c r="O84" s="32"/>
      <c r="P84" s="32"/>
    </row>
    <row r="85" spans="2:16" ht="16.5" customHeight="1" thickTop="1">
      <c r="B85" s="19" t="s">
        <v>19</v>
      </c>
      <c r="C85" s="18"/>
      <c r="D85" s="18"/>
      <c r="E85" s="18"/>
      <c r="F85" s="18"/>
      <c r="G85" s="18"/>
      <c r="H85" s="18"/>
      <c r="I85" s="18"/>
      <c r="J85" s="18"/>
      <c r="K85" s="18"/>
      <c r="L85" s="18"/>
      <c r="M85" s="18"/>
      <c r="N85" s="18"/>
      <c r="O85" s="33"/>
      <c r="P85" s="33"/>
    </row>
    <row r="86" spans="2:16" ht="16.5" customHeight="1">
      <c r="B86" s="25" t="s">
        <v>68</v>
      </c>
      <c r="C86" s="26">
        <v>100</v>
      </c>
      <c r="D86" s="26">
        <v>100</v>
      </c>
      <c r="E86" s="26">
        <v>100</v>
      </c>
      <c r="F86" s="26">
        <v>100</v>
      </c>
      <c r="G86" s="26">
        <v>100</v>
      </c>
      <c r="H86" s="26"/>
      <c r="I86" s="26"/>
      <c r="J86" s="26"/>
      <c r="K86" s="26">
        <v>100</v>
      </c>
      <c r="L86" s="26">
        <v>100</v>
      </c>
      <c r="M86" s="26">
        <v>100</v>
      </c>
      <c r="N86" s="26">
        <v>100</v>
      </c>
      <c r="O86" s="29">
        <f>SUM(tblСтатьяРасходов_09[[#This Row],[jan]:[dec]])</f>
        <v>900</v>
      </c>
      <c r="P86" s="29">
        <f>tblСтатьяРасходов_09[[#This Row],[year]]/12</f>
        <v>75</v>
      </c>
    </row>
    <row r="87" spans="2:16" ht="16.5" customHeight="1">
      <c r="B87" s="25" t="s">
        <v>70</v>
      </c>
      <c r="C87" s="26">
        <v>500</v>
      </c>
      <c r="D87" s="26">
        <v>500</v>
      </c>
      <c r="E87" s="26">
        <v>500</v>
      </c>
      <c r="F87" s="26">
        <v>500</v>
      </c>
      <c r="G87" s="26">
        <v>500</v>
      </c>
      <c r="H87" s="26">
        <v>500</v>
      </c>
      <c r="I87" s="26">
        <v>500</v>
      </c>
      <c r="J87" s="26">
        <v>500</v>
      </c>
      <c r="K87" s="26">
        <v>500</v>
      </c>
      <c r="L87" s="26">
        <v>500</v>
      </c>
      <c r="M87" s="26">
        <v>500</v>
      </c>
      <c r="N87" s="26">
        <v>500</v>
      </c>
      <c r="O87" s="29">
        <f>SUM(tblСтатьяРасходов_09[[#This Row],[jan]:[dec]])</f>
        <v>6000</v>
      </c>
      <c r="P87" s="29">
        <f>tblСтатьяРасходов_09[[#This Row],[year]]/12</f>
        <v>500</v>
      </c>
    </row>
    <row r="88" spans="2:16" ht="16.5" customHeight="1">
      <c r="B88" s="25" t="s">
        <v>69</v>
      </c>
      <c r="C88" s="26">
        <v>200</v>
      </c>
      <c r="D88" s="26">
        <v>200</v>
      </c>
      <c r="E88" s="26">
        <v>200</v>
      </c>
      <c r="F88" s="26">
        <v>200</v>
      </c>
      <c r="G88" s="26">
        <v>200</v>
      </c>
      <c r="H88" s="26"/>
      <c r="I88" s="26"/>
      <c r="J88" s="26"/>
      <c r="K88" s="26">
        <v>200</v>
      </c>
      <c r="L88" s="26">
        <v>200</v>
      </c>
      <c r="M88" s="26">
        <v>200</v>
      </c>
      <c r="N88" s="26">
        <v>200</v>
      </c>
      <c r="O88" s="29">
        <f>SUM(tblСтатьяРасходов_09[[#This Row],[jan]:[dec]])</f>
        <v>1800</v>
      </c>
      <c r="P88" s="29">
        <f>tblСтатьяРасходов_09[[#This Row],[year]]/12</f>
        <v>150</v>
      </c>
    </row>
    <row r="89" spans="2:16" ht="16.5" customHeight="1">
      <c r="B89" s="25" t="str">
        <f>UPPER("ВСЕГО: " &amp; B85)</f>
        <v>ВСЕГО: СБЕРЕЖЕНИЯ</v>
      </c>
      <c r="C89" s="26">
        <f>SUM(tblСтатьяРасходов_09[jan])</f>
        <v>800</v>
      </c>
      <c r="D89" s="26">
        <f>SUM(tblСтатьяРасходов_09[feb])</f>
        <v>800</v>
      </c>
      <c r="E89" s="26">
        <f>SUM(tblСтатьяРасходов_09[mar])</f>
        <v>800</v>
      </c>
      <c r="F89" s="26">
        <f>SUM(tblСтатьяРасходов_09[apr])</f>
        <v>800</v>
      </c>
      <c r="G89" s="26">
        <f>SUM(tblСтатьяРасходов_09[may])</f>
        <v>800</v>
      </c>
      <c r="H89" s="26">
        <f>SUM(tblСтатьяРасходов_09[jun])</f>
        <v>500</v>
      </c>
      <c r="I89" s="26">
        <f>SUM(tblСтатьяРасходов_09[jul])</f>
        <v>500</v>
      </c>
      <c r="J89" s="26">
        <f>SUM(tblСтатьяРасходов_09[aug])</f>
        <v>500</v>
      </c>
      <c r="K89" s="26">
        <f>SUM(tblСтатьяРасходов_09[sep])</f>
        <v>800</v>
      </c>
      <c r="L89" s="26">
        <f>SUM(tblСтатьяРасходов_09[oct])</f>
        <v>800</v>
      </c>
      <c r="M89" s="26">
        <f>SUM(tblСтатьяРасходов_09[nov])</f>
        <v>800</v>
      </c>
      <c r="N89" s="26">
        <f>SUM(tblСтатьяРасходов_09[dec])</f>
        <v>800</v>
      </c>
      <c r="O89" s="29">
        <f>SUM(tblСтатьяРасходов_09[year])</f>
        <v>8700</v>
      </c>
      <c r="P89" s="29">
        <f>tblСтатьяРасходов_09[[#Totals],[year]]/12</f>
        <v>725</v>
      </c>
    </row>
    <row r="90" spans="2:16" ht="16.5" customHeight="1">
      <c r="B90" s="39"/>
      <c r="C90" s="39"/>
      <c r="D90" s="39"/>
      <c r="E90" s="39"/>
      <c r="F90" s="39"/>
      <c r="G90" s="39"/>
      <c r="H90" s="39"/>
      <c r="I90" s="39"/>
      <c r="J90" s="39"/>
      <c r="K90" s="39"/>
      <c r="L90" s="39"/>
      <c r="M90" s="39"/>
      <c r="N90" s="39"/>
      <c r="O90" s="32"/>
      <c r="P90" s="32"/>
    </row>
    <row r="91" spans="2:16" ht="16.5" customHeight="1" thickBot="1">
      <c r="B91" s="14"/>
      <c r="C91" s="17"/>
      <c r="D91" s="17"/>
      <c r="E91" s="17"/>
      <c r="F91" s="17"/>
      <c r="G91" s="17"/>
      <c r="H91" s="17"/>
      <c r="I91" s="17"/>
      <c r="J91" s="17"/>
      <c r="K91" s="17"/>
      <c r="L91" s="17"/>
      <c r="M91" s="17"/>
      <c r="N91" s="17"/>
      <c r="O91" s="32"/>
      <c r="P91" s="32"/>
    </row>
    <row r="92" spans="2:16" ht="16.5" customHeight="1" thickTop="1">
      <c r="B92" s="19" t="s">
        <v>20</v>
      </c>
      <c r="C92" s="18"/>
      <c r="D92" s="18"/>
      <c r="E92" s="18"/>
      <c r="F92" s="18"/>
      <c r="G92" s="18"/>
      <c r="H92" s="18"/>
      <c r="I92" s="18"/>
      <c r="J92" s="18"/>
      <c r="K92" s="18"/>
      <c r="L92" s="18"/>
      <c r="M92" s="18"/>
      <c r="N92" s="18"/>
      <c r="O92" s="33"/>
      <c r="P92" s="33"/>
    </row>
    <row r="93" spans="2:16" ht="16.5" customHeight="1">
      <c r="B93" s="25" t="s">
        <v>75</v>
      </c>
      <c r="C93" s="26">
        <v>145</v>
      </c>
      <c r="D93" s="26">
        <v>145</v>
      </c>
      <c r="E93" s="26">
        <v>145</v>
      </c>
      <c r="F93" s="26">
        <v>145</v>
      </c>
      <c r="G93" s="26">
        <v>145</v>
      </c>
      <c r="H93" s="26">
        <v>145</v>
      </c>
      <c r="I93" s="26">
        <v>145</v>
      </c>
      <c r="J93" s="26">
        <v>145</v>
      </c>
      <c r="K93" s="26">
        <v>145</v>
      </c>
      <c r="L93" s="26">
        <v>145</v>
      </c>
      <c r="M93" s="26">
        <v>145</v>
      </c>
      <c r="N93" s="26">
        <v>145</v>
      </c>
      <c r="O93" s="29">
        <f>SUM(tblСтатьяРасходов_10[[#This Row],[jan]:[dec]])</f>
        <v>1740</v>
      </c>
      <c r="P93" s="29">
        <f>tblСтатьяРасходов_10[[#This Row],[year]]/12</f>
        <v>145</v>
      </c>
    </row>
    <row r="94" spans="2:16" ht="16.5" customHeight="1">
      <c r="B94" s="25" t="s">
        <v>79</v>
      </c>
      <c r="C94" s="26">
        <v>450</v>
      </c>
      <c r="D94" s="26"/>
      <c r="E94" s="26"/>
      <c r="F94" s="26">
        <v>450</v>
      </c>
      <c r="G94" s="26"/>
      <c r="H94" s="26"/>
      <c r="I94" s="26">
        <v>450</v>
      </c>
      <c r="J94" s="26"/>
      <c r="K94" s="26"/>
      <c r="L94" s="26">
        <v>450</v>
      </c>
      <c r="M94" s="26"/>
      <c r="N94" s="26"/>
      <c r="O94" s="29">
        <f>SUM(tblСтатьяРасходов_10[[#This Row],[jan]:[dec]])</f>
        <v>1800</v>
      </c>
      <c r="P94" s="29">
        <f>tblСтатьяРасходов_10[[#This Row],[year]]/12</f>
        <v>150</v>
      </c>
    </row>
    <row r="95" spans="2:16" ht="16.5" customHeight="1">
      <c r="B95" s="25" t="s">
        <v>73</v>
      </c>
      <c r="C95" s="26">
        <v>55</v>
      </c>
      <c r="D95" s="26">
        <v>55</v>
      </c>
      <c r="E95" s="26">
        <v>55</v>
      </c>
      <c r="F95" s="26">
        <v>55</v>
      </c>
      <c r="G95" s="26">
        <v>55</v>
      </c>
      <c r="H95" s="26">
        <v>55</v>
      </c>
      <c r="I95" s="26">
        <v>55</v>
      </c>
      <c r="J95" s="26">
        <v>55</v>
      </c>
      <c r="K95" s="26">
        <v>55</v>
      </c>
      <c r="L95" s="26">
        <v>55</v>
      </c>
      <c r="M95" s="26">
        <v>55</v>
      </c>
      <c r="N95" s="26">
        <v>55</v>
      </c>
      <c r="O95" s="29">
        <f>SUM(tblСтатьяРасходов_10[[#This Row],[jan]:[dec]])</f>
        <v>660</v>
      </c>
      <c r="P95" s="29">
        <f>tblСтатьяРасходов_10[[#This Row],[year]]/12</f>
        <v>55</v>
      </c>
    </row>
    <row r="96" spans="2:16" ht="16.5" customHeight="1">
      <c r="B96" s="25" t="str">
        <f>UPPER("ВСЕГО: " &amp; B92)</f>
        <v>ВСЕГО: ВЫПЛАТЫ</v>
      </c>
      <c r="C96" s="26">
        <f>SUM(tblСтатьяРасходов_10[jan])</f>
        <v>650</v>
      </c>
      <c r="D96" s="26">
        <f>SUM(tblСтатьяРасходов_10[feb])</f>
        <v>200</v>
      </c>
      <c r="E96" s="26">
        <f>SUM(tblСтатьяРасходов_10[mar])</f>
        <v>200</v>
      </c>
      <c r="F96" s="26">
        <f>SUM(tblСтатьяРасходов_10[apr])</f>
        <v>650</v>
      </c>
      <c r="G96" s="26">
        <f>SUM(tblСтатьяРасходов_10[may])</f>
        <v>200</v>
      </c>
      <c r="H96" s="26">
        <f>SUM(tblСтатьяРасходов_10[jun])</f>
        <v>200</v>
      </c>
      <c r="I96" s="26">
        <f>SUM(tblСтатьяРасходов_10[jul])</f>
        <v>650</v>
      </c>
      <c r="J96" s="26">
        <f>SUM(tblСтатьяРасходов_10[aug])</f>
        <v>200</v>
      </c>
      <c r="K96" s="26">
        <f>SUM(tblСтатьяРасходов_10[sep])</f>
        <v>200</v>
      </c>
      <c r="L96" s="26">
        <f>SUM(tblСтатьяРасходов_10[oct])</f>
        <v>650</v>
      </c>
      <c r="M96" s="26">
        <f>SUM(tblСтатьяРасходов_10[nov])</f>
        <v>200</v>
      </c>
      <c r="N96" s="26">
        <f>SUM(tblСтатьяРасходов_10[dec])</f>
        <v>200</v>
      </c>
      <c r="O96" s="29">
        <f>SUM(tblСтатьяРасходов_10[year])</f>
        <v>4200</v>
      </c>
      <c r="P96" s="29">
        <f>tblСтатьяРасходов_10[[#Totals],[year]]/12</f>
        <v>350</v>
      </c>
    </row>
    <row r="97" spans="2:16" ht="16.5" customHeight="1">
      <c r="B97" s="39"/>
      <c r="C97" s="39"/>
      <c r="D97" s="39"/>
      <c r="E97" s="39"/>
      <c r="F97" s="39"/>
      <c r="G97" s="39"/>
      <c r="H97" s="39"/>
      <c r="I97" s="39"/>
      <c r="J97" s="39"/>
      <c r="K97" s="39"/>
      <c r="L97" s="39"/>
      <c r="M97" s="39"/>
      <c r="N97" s="39"/>
      <c r="O97" s="32"/>
      <c r="P97" s="32"/>
    </row>
    <row r="98" spans="2:16" ht="16.5" customHeight="1" thickBot="1">
      <c r="B98" s="14"/>
      <c r="C98" s="17"/>
      <c r="D98" s="17"/>
      <c r="E98" s="17"/>
      <c r="F98" s="17"/>
      <c r="G98" s="17"/>
      <c r="H98" s="17"/>
      <c r="I98" s="17"/>
      <c r="J98" s="17"/>
      <c r="K98" s="17"/>
      <c r="L98" s="17"/>
      <c r="M98" s="17"/>
      <c r="N98" s="17"/>
      <c r="O98" s="32"/>
      <c r="P98" s="32"/>
    </row>
    <row r="99" spans="2:16" ht="16.5" customHeight="1" thickTop="1">
      <c r="B99" s="19" t="s">
        <v>0</v>
      </c>
      <c r="C99" s="18"/>
      <c r="D99" s="18"/>
      <c r="E99" s="18"/>
      <c r="F99" s="18"/>
      <c r="G99" s="18"/>
      <c r="H99" s="18"/>
      <c r="I99" s="18"/>
      <c r="J99" s="18"/>
      <c r="K99" s="18"/>
      <c r="L99" s="18"/>
      <c r="M99" s="18"/>
      <c r="N99" s="18"/>
      <c r="O99" s="33"/>
      <c r="P99" s="33"/>
    </row>
    <row r="100" spans="2:16" ht="16.5" customHeight="1">
      <c r="B100" s="25"/>
      <c r="C100" s="26"/>
      <c r="D100" s="26"/>
      <c r="E100" s="26"/>
      <c r="F100" s="26"/>
      <c r="G100" s="26"/>
      <c r="H100" s="26"/>
      <c r="I100" s="26"/>
      <c r="J100" s="26"/>
      <c r="K100" s="26"/>
      <c r="L100" s="26"/>
      <c r="M100" s="26"/>
      <c r="N100" s="26"/>
      <c r="O100" s="29">
        <f>SUM(tblСтатьяРасходов_11[[#This Row],[jan]:[dec]])</f>
        <v>0</v>
      </c>
      <c r="P100" s="29">
        <f>tblСтатьяРасходов_11[[#This Row],[year]]/12</f>
        <v>0</v>
      </c>
    </row>
    <row r="101" spans="2:16" ht="16.5" customHeight="1">
      <c r="B101" s="25"/>
      <c r="C101" s="26"/>
      <c r="D101" s="26"/>
      <c r="E101" s="26"/>
      <c r="F101" s="26"/>
      <c r="G101" s="26"/>
      <c r="H101" s="26"/>
      <c r="I101" s="26"/>
      <c r="J101" s="26"/>
      <c r="K101" s="26"/>
      <c r="L101" s="26"/>
      <c r="M101" s="26"/>
      <c r="N101" s="26"/>
      <c r="O101" s="29">
        <f>SUM(tblСтатьяРасходов_11[[#This Row],[jan]:[dec]])</f>
        <v>0</v>
      </c>
      <c r="P101" s="29">
        <f>tblСтатьяРасходов_11[[#This Row],[year]]/12</f>
        <v>0</v>
      </c>
    </row>
    <row r="102" spans="2:16" ht="16.5" customHeight="1">
      <c r="B102" s="25"/>
      <c r="C102" s="26"/>
      <c r="D102" s="26"/>
      <c r="E102" s="26"/>
      <c r="F102" s="26"/>
      <c r="G102" s="26"/>
      <c r="H102" s="26"/>
      <c r="I102" s="26"/>
      <c r="J102" s="26"/>
      <c r="K102" s="26"/>
      <c r="L102" s="26"/>
      <c r="M102" s="26"/>
      <c r="N102" s="26"/>
      <c r="O102" s="29">
        <f>SUM(tblСтатьяРасходов_11[[#This Row],[jan]:[dec]])</f>
        <v>0</v>
      </c>
      <c r="P102" s="29">
        <f>tblСтатьяРасходов_11[[#This Row],[year]]/12</f>
        <v>0</v>
      </c>
    </row>
    <row r="103" spans="2:16" ht="16.5" customHeight="1">
      <c r="B103" s="25" t="str">
        <f>UPPER("ИТОГО " &amp; B99)</f>
        <v xml:space="preserve">ИТОГО  </v>
      </c>
      <c r="C103" s="26">
        <f>SUM(tblСтатьяРасходов_11[jan])</f>
        <v>0</v>
      </c>
      <c r="D103" s="26">
        <f>SUM(tblСтатьяРасходов_11[feb])</f>
        <v>0</v>
      </c>
      <c r="E103" s="26">
        <f>SUM(tblСтатьяРасходов_11[mar])</f>
        <v>0</v>
      </c>
      <c r="F103" s="26">
        <f>SUM(tblСтатьяРасходов_11[apr])</f>
        <v>0</v>
      </c>
      <c r="G103" s="26">
        <f>SUM(tblСтатьяРасходов_11[may])</f>
        <v>0</v>
      </c>
      <c r="H103" s="26">
        <f>SUM(tblСтатьяРасходов_11[jun])</f>
        <v>0</v>
      </c>
      <c r="I103" s="26">
        <f>SUM(tblСтатьяРасходов_11[jul])</f>
        <v>0</v>
      </c>
      <c r="J103" s="26">
        <f>SUM(tblСтатьяРасходов_11[aug])</f>
        <v>0</v>
      </c>
      <c r="K103" s="26">
        <f>SUM(tblСтатьяРасходов_11[sep])</f>
        <v>0</v>
      </c>
      <c r="L103" s="26">
        <f>SUM(tblСтатьяРасходов_11[oct])</f>
        <v>0</v>
      </c>
      <c r="M103" s="26">
        <f>SUM(tblСтатьяРасходов_11[nov])</f>
        <v>0</v>
      </c>
      <c r="N103" s="26">
        <f>SUM(tblСтатьяРасходов_11[dec])</f>
        <v>0</v>
      </c>
      <c r="O103" s="29">
        <f>SUM(tblСтатьяРасходов_11[year])</f>
        <v>0</v>
      </c>
      <c r="P103" s="29">
        <f>tblСтатьяРасходов_11[[#Totals],[year]]/12</f>
        <v>0</v>
      </c>
    </row>
    <row r="104" spans="2:16" ht="16.5" customHeight="1">
      <c r="B104" s="39"/>
      <c r="C104" s="39"/>
      <c r="D104" s="39"/>
      <c r="E104" s="39"/>
      <c r="F104" s="39"/>
      <c r="G104" s="39"/>
      <c r="H104" s="39"/>
      <c r="I104" s="39"/>
      <c r="J104" s="39"/>
      <c r="K104" s="39"/>
      <c r="L104" s="39"/>
      <c r="M104" s="39"/>
      <c r="N104" s="39"/>
      <c r="O104" s="32"/>
      <c r="P104" s="32"/>
    </row>
    <row r="105" spans="2:16" ht="16.5" customHeight="1" thickBot="1">
      <c r="B105" s="14"/>
      <c r="C105" s="17"/>
      <c r="D105" s="17"/>
      <c r="E105" s="17"/>
      <c r="F105" s="17"/>
      <c r="G105" s="17"/>
      <c r="H105" s="17"/>
      <c r="I105" s="17"/>
      <c r="J105" s="17"/>
      <c r="K105" s="17"/>
      <c r="L105" s="17"/>
      <c r="M105" s="17"/>
      <c r="N105" s="17"/>
      <c r="O105" s="32"/>
      <c r="P105" s="32"/>
    </row>
    <row r="106" spans="2:16" ht="16.5" customHeight="1" thickTop="1">
      <c r="B106" s="19" t="s">
        <v>0</v>
      </c>
      <c r="C106" s="18"/>
      <c r="D106" s="18"/>
      <c r="E106" s="18"/>
      <c r="F106" s="18"/>
      <c r="G106" s="18"/>
      <c r="H106" s="18"/>
      <c r="I106" s="18"/>
      <c r="J106" s="18"/>
      <c r="K106" s="18"/>
      <c r="L106" s="18"/>
      <c r="M106" s="18"/>
      <c r="N106" s="18"/>
      <c r="O106" s="33"/>
      <c r="P106" s="33"/>
    </row>
    <row r="107" spans="2:16" ht="16.5" customHeight="1">
      <c r="B107" s="25"/>
      <c r="C107" s="26"/>
      <c r="D107" s="26"/>
      <c r="E107" s="26"/>
      <c r="F107" s="26"/>
      <c r="G107" s="26"/>
      <c r="H107" s="26"/>
      <c r="I107" s="26"/>
      <c r="J107" s="26"/>
      <c r="K107" s="26"/>
      <c r="L107" s="26"/>
      <c r="M107" s="26"/>
      <c r="N107" s="26"/>
      <c r="O107" s="29">
        <f>SUM(tblСтатьяРасходов_12[[#This Row],[jan]:[dec]])</f>
        <v>0</v>
      </c>
      <c r="P107" s="29">
        <f>tblСтатьяРасходов_12[[#This Row],[year]]/12</f>
        <v>0</v>
      </c>
    </row>
    <row r="108" spans="2:16" ht="16.5" customHeight="1">
      <c r="B108" s="25"/>
      <c r="C108" s="26"/>
      <c r="D108" s="26"/>
      <c r="E108" s="26"/>
      <c r="F108" s="26"/>
      <c r="G108" s="26"/>
      <c r="H108" s="26"/>
      <c r="I108" s="26"/>
      <c r="J108" s="26"/>
      <c r="K108" s="26"/>
      <c r="L108" s="26"/>
      <c r="M108" s="26"/>
      <c r="N108" s="26"/>
      <c r="O108" s="29">
        <f>SUM(tblСтатьяРасходов_12[[#This Row],[jan]:[dec]])</f>
        <v>0</v>
      </c>
      <c r="P108" s="29">
        <f>tblСтатьяРасходов_12[[#This Row],[year]]/12</f>
        <v>0</v>
      </c>
    </row>
    <row r="109" spans="2:16" ht="16.5" customHeight="1">
      <c r="B109" s="25"/>
      <c r="C109" s="26"/>
      <c r="D109" s="26"/>
      <c r="E109" s="26"/>
      <c r="F109" s="26"/>
      <c r="G109" s="26"/>
      <c r="H109" s="26"/>
      <c r="I109" s="26"/>
      <c r="J109" s="26"/>
      <c r="K109" s="26"/>
      <c r="L109" s="26"/>
      <c r="M109" s="26"/>
      <c r="N109" s="26"/>
      <c r="O109" s="29">
        <f>SUM(tblСтатьяРасходов_12[[#This Row],[jan]:[dec]])</f>
        <v>0</v>
      </c>
      <c r="P109" s="29">
        <f>tblСтатьяРасходов_12[[#This Row],[year]]/12</f>
        <v>0</v>
      </c>
    </row>
    <row r="110" spans="2:16" ht="16.5" customHeight="1">
      <c r="B110" s="25" t="str">
        <f>UPPER("ИТОГО " &amp; B106)</f>
        <v xml:space="preserve">ИТОГО  </v>
      </c>
      <c r="C110" s="26">
        <f>SUM(tblСтатьяРасходов_12[jan])</f>
        <v>0</v>
      </c>
      <c r="D110" s="26">
        <f>SUM(tblСтатьяРасходов_12[feb])</f>
        <v>0</v>
      </c>
      <c r="E110" s="26">
        <f>SUM(tblСтатьяРасходов_12[mar])</f>
        <v>0</v>
      </c>
      <c r="F110" s="26">
        <f>SUM(tblСтатьяРасходов_12[apr])</f>
        <v>0</v>
      </c>
      <c r="G110" s="26">
        <f>SUM(tblСтатьяРасходов_12[may])</f>
        <v>0</v>
      </c>
      <c r="H110" s="26">
        <f>SUM(tblСтатьяРасходов_12[jun])</f>
        <v>0</v>
      </c>
      <c r="I110" s="26">
        <f>SUM(tblСтатьяРасходов_12[jul])</f>
        <v>0</v>
      </c>
      <c r="J110" s="26">
        <f>SUM(tblСтатьяРасходов_12[aug])</f>
        <v>0</v>
      </c>
      <c r="K110" s="26">
        <f>SUM(tblСтатьяРасходов_12[sep])</f>
        <v>0</v>
      </c>
      <c r="L110" s="26">
        <f>SUM(tblСтатьяРасходов_12[oct])</f>
        <v>0</v>
      </c>
      <c r="M110" s="26">
        <f>SUM(tblСтатьяРасходов_12[nov])</f>
        <v>0</v>
      </c>
      <c r="N110" s="26">
        <f>SUM(tblСтатьяРасходов_12[dec])</f>
        <v>0</v>
      </c>
      <c r="O110" s="29">
        <f>SUM(tblСтатьяРасходов_12[year])</f>
        <v>0</v>
      </c>
      <c r="P110" s="29">
        <f>tblСтатьяРасходов_12[[#Totals],[year]]/12</f>
        <v>0</v>
      </c>
    </row>
    <row r="111" spans="2:16" ht="16.5" customHeight="1">
      <c r="B111" s="39"/>
      <c r="C111" s="39"/>
      <c r="D111" s="39"/>
      <c r="E111" s="39"/>
      <c r="F111" s="39"/>
      <c r="G111" s="39"/>
      <c r="H111" s="39"/>
      <c r="I111" s="39"/>
      <c r="J111" s="39"/>
      <c r="K111" s="39"/>
      <c r="L111" s="39"/>
      <c r="M111" s="39"/>
      <c r="N111" s="39"/>
      <c r="O111" s="32"/>
      <c r="P111" s="32"/>
    </row>
    <row r="112" spans="2:16" ht="16.5" customHeight="1" thickBot="1">
      <c r="B112" s="14"/>
      <c r="C112" s="17"/>
      <c r="D112" s="17"/>
      <c r="E112" s="17"/>
      <c r="F112" s="17"/>
      <c r="G112" s="17"/>
      <c r="H112" s="17"/>
      <c r="I112" s="17"/>
      <c r="J112" s="17"/>
      <c r="K112" s="17"/>
      <c r="L112" s="17"/>
      <c r="M112" s="17"/>
      <c r="N112" s="17"/>
      <c r="O112" s="32"/>
      <c r="P112" s="32"/>
    </row>
    <row r="113" spans="2:16" ht="16.5" customHeight="1" thickTop="1">
      <c r="B113" s="19" t="s">
        <v>0</v>
      </c>
      <c r="C113" s="18"/>
      <c r="D113" s="18"/>
      <c r="E113" s="18"/>
      <c r="F113" s="18"/>
      <c r="G113" s="18"/>
      <c r="H113" s="18"/>
      <c r="I113" s="18"/>
      <c r="J113" s="18"/>
      <c r="K113" s="18"/>
      <c r="L113" s="18"/>
      <c r="M113" s="18"/>
      <c r="N113" s="18"/>
      <c r="O113" s="33"/>
      <c r="P113" s="33"/>
    </row>
    <row r="114" spans="2:16" ht="16.5" customHeight="1">
      <c r="B114" s="25"/>
      <c r="C114" s="26"/>
      <c r="D114" s="26"/>
      <c r="E114" s="26"/>
      <c r="F114" s="26"/>
      <c r="G114" s="26"/>
      <c r="H114" s="26"/>
      <c r="I114" s="26"/>
      <c r="J114" s="26"/>
      <c r="K114" s="26"/>
      <c r="L114" s="26"/>
      <c r="M114" s="26"/>
      <c r="N114" s="26"/>
      <c r="O114" s="29">
        <f>SUM(tblСтатьяРасходов_13[[#This Row],[jan]:[dec]])</f>
        <v>0</v>
      </c>
      <c r="P114" s="29">
        <f>tblСтатьяРасходов_13[[#This Row],[year]]/12</f>
        <v>0</v>
      </c>
    </row>
    <row r="115" spans="2:16" ht="16.5" customHeight="1">
      <c r="B115" s="25"/>
      <c r="C115" s="26"/>
      <c r="D115" s="26"/>
      <c r="E115" s="26"/>
      <c r="F115" s="26"/>
      <c r="G115" s="26"/>
      <c r="H115" s="26"/>
      <c r="I115" s="26"/>
      <c r="J115" s="26"/>
      <c r="K115" s="26"/>
      <c r="L115" s="26"/>
      <c r="M115" s="26"/>
      <c r="N115" s="26"/>
      <c r="O115" s="29">
        <f>SUM(tblСтатьяРасходов_13[[#This Row],[jan]:[dec]])</f>
        <v>0</v>
      </c>
      <c r="P115" s="29">
        <f>tblСтатьяРасходов_13[[#This Row],[year]]/12</f>
        <v>0</v>
      </c>
    </row>
    <row r="116" spans="2:16" ht="16.5" customHeight="1">
      <c r="B116" s="25"/>
      <c r="C116" s="26"/>
      <c r="D116" s="26"/>
      <c r="E116" s="26"/>
      <c r="F116" s="26"/>
      <c r="G116" s="26"/>
      <c r="H116" s="26"/>
      <c r="I116" s="26"/>
      <c r="J116" s="26"/>
      <c r="K116" s="26"/>
      <c r="L116" s="26"/>
      <c r="M116" s="26"/>
      <c r="N116" s="26"/>
      <c r="O116" s="29">
        <f>SUM(tblСтатьяРасходов_13[[#This Row],[jan]:[dec]])</f>
        <v>0</v>
      </c>
      <c r="P116" s="29">
        <f>tblСтатьяРасходов_13[[#This Row],[year]]/12</f>
        <v>0</v>
      </c>
    </row>
    <row r="117" spans="2:16" ht="16.5" customHeight="1">
      <c r="B117" s="25" t="str">
        <f>UPPER("ИТОГО " &amp; B113)</f>
        <v xml:space="preserve">ИТОГО  </v>
      </c>
      <c r="C117" s="26">
        <f>SUM(tblСтатьяРасходов_13[jan])</f>
        <v>0</v>
      </c>
      <c r="D117" s="26">
        <f>SUM(tblСтатьяРасходов_13[feb])</f>
        <v>0</v>
      </c>
      <c r="E117" s="26">
        <f>SUM(tblСтатьяРасходов_13[mar])</f>
        <v>0</v>
      </c>
      <c r="F117" s="26">
        <f>SUM(tblСтатьяРасходов_13[apr])</f>
        <v>0</v>
      </c>
      <c r="G117" s="26">
        <f>SUM(tblСтатьяРасходов_13[may])</f>
        <v>0</v>
      </c>
      <c r="H117" s="26">
        <f>SUM(tblСтатьяРасходов_13[jun])</f>
        <v>0</v>
      </c>
      <c r="I117" s="26">
        <f>SUM(tblСтатьяРасходов_13[jul])</f>
        <v>0</v>
      </c>
      <c r="J117" s="26">
        <f>SUM(tblСтатьяРасходов_13[aug])</f>
        <v>0</v>
      </c>
      <c r="K117" s="26">
        <f>SUM(tblСтатьяРасходов_13[sep])</f>
        <v>0</v>
      </c>
      <c r="L117" s="26">
        <f>SUM(tblСтатьяРасходов_13[oct])</f>
        <v>0</v>
      </c>
      <c r="M117" s="26">
        <f>SUM(tblСтатьяРасходов_13[nov])</f>
        <v>0</v>
      </c>
      <c r="N117" s="26">
        <f>SUM(tblСтатьяРасходов_13[dec])</f>
        <v>0</v>
      </c>
      <c r="O117" s="29">
        <f>SUM(tblСтатьяРасходов_13[year])</f>
        <v>0</v>
      </c>
      <c r="P117" s="29">
        <f>tblСтатьяРасходов_13[[#Totals],[year]]/12</f>
        <v>0</v>
      </c>
    </row>
    <row r="118" spans="2:16" ht="16.5" customHeight="1">
      <c r="B118" s="39"/>
      <c r="C118" s="39"/>
      <c r="D118" s="39"/>
      <c r="E118" s="39"/>
      <c r="F118" s="39"/>
      <c r="G118" s="39"/>
      <c r="H118" s="39"/>
      <c r="I118" s="39"/>
      <c r="J118" s="39"/>
      <c r="K118" s="39"/>
      <c r="L118" s="39"/>
      <c r="M118" s="39"/>
      <c r="N118" s="39"/>
      <c r="O118" s="32"/>
      <c r="P118" s="32"/>
    </row>
    <row r="119" spans="2:16" ht="16.5" customHeight="1" thickBot="1">
      <c r="B119" s="14"/>
      <c r="C119" s="17"/>
      <c r="D119" s="17"/>
      <c r="E119" s="17"/>
      <c r="F119" s="17"/>
      <c r="G119" s="17"/>
      <c r="H119" s="17"/>
      <c r="I119" s="17"/>
      <c r="J119" s="17"/>
      <c r="K119" s="17"/>
      <c r="L119" s="17"/>
      <c r="M119" s="17"/>
      <c r="N119" s="17"/>
      <c r="O119" s="32"/>
      <c r="P119" s="32"/>
    </row>
    <row r="120" spans="2:16" ht="16.5" customHeight="1" thickTop="1">
      <c r="B120" s="19" t="s">
        <v>0</v>
      </c>
      <c r="C120" s="18"/>
      <c r="D120" s="18"/>
      <c r="E120" s="18"/>
      <c r="F120" s="18"/>
      <c r="G120" s="18"/>
      <c r="H120" s="18"/>
      <c r="I120" s="18"/>
      <c r="J120" s="18"/>
      <c r="K120" s="18"/>
      <c r="L120" s="18"/>
      <c r="M120" s="18"/>
      <c r="N120" s="18"/>
      <c r="O120" s="33"/>
      <c r="P120" s="33"/>
    </row>
    <row r="121" spans="2:16" ht="16.5" customHeight="1">
      <c r="B121" s="25"/>
      <c r="C121" s="26"/>
      <c r="D121" s="26"/>
      <c r="E121" s="26"/>
      <c r="F121" s="26"/>
      <c r="G121" s="26"/>
      <c r="H121" s="26"/>
      <c r="I121" s="26"/>
      <c r="J121" s="26"/>
      <c r="K121" s="26"/>
      <c r="L121" s="26"/>
      <c r="M121" s="26"/>
      <c r="N121" s="26"/>
      <c r="O121" s="29">
        <f>SUM(tblСтатьяРасходов_14[[#This Row],[jan]:[dec]])</f>
        <v>0</v>
      </c>
      <c r="P121" s="29">
        <f>tblСтатьяРасходов_14[[#This Row],[year]]/12</f>
        <v>0</v>
      </c>
    </row>
    <row r="122" spans="2:16" ht="16.5" customHeight="1">
      <c r="B122" s="25"/>
      <c r="C122" s="26"/>
      <c r="D122" s="26"/>
      <c r="E122" s="26"/>
      <c r="F122" s="26"/>
      <c r="G122" s="26"/>
      <c r="H122" s="26"/>
      <c r="I122" s="26"/>
      <c r="J122" s="26"/>
      <c r="K122" s="26"/>
      <c r="L122" s="26"/>
      <c r="M122" s="26"/>
      <c r="N122" s="26"/>
      <c r="O122" s="29">
        <f>SUM(tblСтатьяРасходов_14[[#This Row],[jan]:[dec]])</f>
        <v>0</v>
      </c>
      <c r="P122" s="29">
        <f>tblСтатьяРасходов_14[[#This Row],[year]]/12</f>
        <v>0</v>
      </c>
    </row>
    <row r="123" spans="2:16" ht="16.5" customHeight="1">
      <c r="B123" s="25"/>
      <c r="C123" s="26"/>
      <c r="D123" s="26"/>
      <c r="E123" s="26"/>
      <c r="F123" s="26"/>
      <c r="G123" s="26"/>
      <c r="H123" s="26"/>
      <c r="I123" s="26"/>
      <c r="J123" s="26"/>
      <c r="K123" s="26"/>
      <c r="L123" s="26"/>
      <c r="M123" s="26"/>
      <c r="N123" s="26"/>
      <c r="O123" s="29">
        <f>SUM(tblСтатьяРасходов_14[[#This Row],[jan]:[dec]])</f>
        <v>0</v>
      </c>
      <c r="P123" s="29">
        <f>tblСтатьяРасходов_14[[#This Row],[year]]/12</f>
        <v>0</v>
      </c>
    </row>
    <row r="124" spans="2:16" ht="16.5" customHeight="1">
      <c r="B124" s="25" t="str">
        <f>UPPER("ИТОГО " &amp; B120)</f>
        <v xml:space="preserve">ИТОГО  </v>
      </c>
      <c r="C124" s="26">
        <f>SUM(tblСтатьяРасходов_14[jan])</f>
        <v>0</v>
      </c>
      <c r="D124" s="26">
        <f>SUM(tblСтатьяРасходов_14[feb])</f>
        <v>0</v>
      </c>
      <c r="E124" s="26">
        <f>SUM(tblСтатьяРасходов_14[mar])</f>
        <v>0</v>
      </c>
      <c r="F124" s="26">
        <f>SUM(tblСтатьяРасходов_14[apr])</f>
        <v>0</v>
      </c>
      <c r="G124" s="26">
        <f>SUM(tblСтатьяРасходов_14[may])</f>
        <v>0</v>
      </c>
      <c r="H124" s="26">
        <f>SUM(tblСтатьяРасходов_14[jun])</f>
        <v>0</v>
      </c>
      <c r="I124" s="26">
        <f>SUM(tblСтатьяРасходов_14[jul])</f>
        <v>0</v>
      </c>
      <c r="J124" s="26">
        <f>SUM(tblСтатьяРасходов_14[aug])</f>
        <v>0</v>
      </c>
      <c r="K124" s="26">
        <f>SUM(tblСтатьяРасходов_14[sep])</f>
        <v>0</v>
      </c>
      <c r="L124" s="26">
        <f>SUM(tblСтатьяРасходов_14[oct])</f>
        <v>0</v>
      </c>
      <c r="M124" s="26">
        <f>SUM(tblСтатьяРасходов_14[nov])</f>
        <v>0</v>
      </c>
      <c r="N124" s="26">
        <f>SUM(tblСтатьяРасходов_14[dec])</f>
        <v>0</v>
      </c>
      <c r="O124" s="29">
        <f>SUM(tblСтатьяРасходов_14[year])</f>
        <v>0</v>
      </c>
      <c r="P124" s="29">
        <f>tblСтатьяРасходов_14[[#Totals],[year]]/12</f>
        <v>0</v>
      </c>
    </row>
    <row r="125" spans="2:16" ht="16.5" customHeight="1">
      <c r="B125" s="39"/>
      <c r="C125" s="39"/>
      <c r="D125" s="39"/>
      <c r="E125" s="39"/>
      <c r="F125" s="39"/>
      <c r="G125" s="39"/>
      <c r="H125" s="39"/>
      <c r="I125" s="39"/>
      <c r="J125" s="39"/>
      <c r="K125" s="39"/>
      <c r="L125" s="39"/>
      <c r="M125" s="39"/>
      <c r="N125" s="39"/>
      <c r="O125" s="32"/>
      <c r="P125" s="32"/>
    </row>
    <row r="126" spans="2:16" ht="16.5" customHeight="1" thickBot="1">
      <c r="B126" s="14"/>
      <c r="C126" s="17"/>
      <c r="D126" s="17"/>
      <c r="E126" s="17"/>
      <c r="F126" s="17"/>
      <c r="G126" s="17"/>
      <c r="H126" s="17"/>
      <c r="I126" s="17"/>
      <c r="J126" s="17"/>
      <c r="K126" s="17"/>
      <c r="L126" s="17"/>
      <c r="M126" s="17"/>
      <c r="N126" s="17"/>
      <c r="O126" s="32"/>
      <c r="P126" s="32"/>
    </row>
    <row r="127" spans="2:16" ht="16.5" customHeight="1" thickTop="1">
      <c r="B127" s="19" t="s">
        <v>0</v>
      </c>
      <c r="C127" s="18"/>
      <c r="D127" s="18"/>
      <c r="E127" s="18"/>
      <c r="F127" s="18"/>
      <c r="G127" s="18"/>
      <c r="H127" s="18"/>
      <c r="I127" s="18"/>
      <c r="J127" s="18"/>
      <c r="K127" s="18"/>
      <c r="L127" s="18"/>
      <c r="M127" s="18"/>
      <c r="N127" s="18"/>
      <c r="O127" s="33"/>
      <c r="P127" s="33"/>
    </row>
    <row r="128" spans="2:16" ht="16.5" customHeight="1">
      <c r="B128" s="25"/>
      <c r="C128" s="26"/>
      <c r="D128" s="26"/>
      <c r="E128" s="26"/>
      <c r="F128" s="26"/>
      <c r="G128" s="26"/>
      <c r="H128" s="26"/>
      <c r="I128" s="26"/>
      <c r="J128" s="26"/>
      <c r="K128" s="26"/>
      <c r="L128" s="26"/>
      <c r="M128" s="26"/>
      <c r="N128" s="26"/>
      <c r="O128" s="29">
        <f>SUM(tblСтатьяРасходов_15[[#This Row],[jan]:[dec]])</f>
        <v>0</v>
      </c>
      <c r="P128" s="29">
        <f>tblСтатьяРасходов_15[[#This Row],[year]]/12</f>
        <v>0</v>
      </c>
    </row>
    <row r="129" spans="2:16" ht="16.5" customHeight="1">
      <c r="B129" s="25"/>
      <c r="C129" s="26"/>
      <c r="D129" s="26"/>
      <c r="E129" s="26"/>
      <c r="F129" s="26"/>
      <c r="G129" s="26"/>
      <c r="H129" s="26"/>
      <c r="I129" s="26"/>
      <c r="J129" s="26"/>
      <c r="K129" s="26"/>
      <c r="L129" s="26"/>
      <c r="M129" s="26"/>
      <c r="N129" s="26"/>
      <c r="O129" s="29">
        <f>SUM(tblСтатьяРасходов_15[[#This Row],[jan]:[dec]])</f>
        <v>0</v>
      </c>
      <c r="P129" s="29">
        <f>tblСтатьяРасходов_15[[#This Row],[year]]/12</f>
        <v>0</v>
      </c>
    </row>
    <row r="130" spans="2:16" ht="16.5" customHeight="1">
      <c r="B130" s="25"/>
      <c r="C130" s="26"/>
      <c r="D130" s="26"/>
      <c r="E130" s="26"/>
      <c r="F130" s="26"/>
      <c r="G130" s="26"/>
      <c r="H130" s="26"/>
      <c r="I130" s="26"/>
      <c r="J130" s="26"/>
      <c r="K130" s="26"/>
      <c r="L130" s="26"/>
      <c r="M130" s="26"/>
      <c r="N130" s="26"/>
      <c r="O130" s="29">
        <f>SUM(tblСтатьяРасходов_15[[#This Row],[jan]:[dec]])</f>
        <v>0</v>
      </c>
      <c r="P130" s="29">
        <f>tblСтатьяРасходов_15[[#This Row],[year]]/12</f>
        <v>0</v>
      </c>
    </row>
    <row r="131" spans="2:16" ht="16.5" customHeight="1">
      <c r="B131" s="25" t="str">
        <f>UPPER("ИТОГО" &amp; B127)</f>
        <v xml:space="preserve">ИТОГО </v>
      </c>
      <c r="C131" s="26">
        <f>SUM(tblСтатьяРасходов_15[jan])</f>
        <v>0</v>
      </c>
      <c r="D131" s="26">
        <f>SUM(tblСтатьяРасходов_15[feb])</f>
        <v>0</v>
      </c>
      <c r="E131" s="26">
        <f>SUM(tblСтатьяРасходов_15[mar])</f>
        <v>0</v>
      </c>
      <c r="F131" s="26">
        <f>SUM(tblСтатьяРасходов_15[apr])</f>
        <v>0</v>
      </c>
      <c r="G131" s="26">
        <f>SUM(tblСтатьяРасходов_15[may])</f>
        <v>0</v>
      </c>
      <c r="H131" s="26">
        <f>SUM(tblСтатьяРасходов_15[jun])</f>
        <v>0</v>
      </c>
      <c r="I131" s="26">
        <f>SUM(tblСтатьяРасходов_15[jul])</f>
        <v>0</v>
      </c>
      <c r="J131" s="26">
        <f>SUM(tblСтатьяРасходов_15[aug])</f>
        <v>0</v>
      </c>
      <c r="K131" s="26">
        <f>SUM(tblСтатьяРасходов_15[sep])</f>
        <v>0</v>
      </c>
      <c r="L131" s="26">
        <f>SUM(tblСтатьяРасходов_15[oct])</f>
        <v>0</v>
      </c>
      <c r="M131" s="26">
        <f>SUM(tblСтатьяРасходов_15[nov])</f>
        <v>0</v>
      </c>
      <c r="N131" s="26">
        <f>SUM(tblСтатьяРасходов_15[dec])</f>
        <v>0</v>
      </c>
      <c r="O131" s="29">
        <f>SUM(tblСтатьяРасходов_15[year])</f>
        <v>0</v>
      </c>
      <c r="P131" s="29">
        <f>tblСтатьяРасходов_15[[#Totals],[year]]/12</f>
        <v>0</v>
      </c>
    </row>
  </sheetData>
  <mergeCells count="15">
    <mergeCell ref="B118:N118"/>
    <mergeCell ref="B125:N125"/>
    <mergeCell ref="B111:N111"/>
    <mergeCell ref="B19:N19"/>
    <mergeCell ref="B69:N69"/>
    <mergeCell ref="B76:N76"/>
    <mergeCell ref="B83:N83"/>
    <mergeCell ref="B90:N90"/>
    <mergeCell ref="B97:N97"/>
    <mergeCell ref="B104:N104"/>
    <mergeCell ref="B28:N28"/>
    <mergeCell ref="B37:N37"/>
    <mergeCell ref="B46:N46"/>
    <mergeCell ref="B55:N55"/>
    <mergeCell ref="B62:N62"/>
  </mergeCells>
  <dataValidations count="17">
    <dataValidation type="list" allowBlank="1" sqref="B13:B17">
      <formula1>доход</formula1>
    </dataValidation>
    <dataValidation type="list" allowBlank="1" sqref="B21 B30 B39 B48 B57 B64 B71 B78 B85 B92 B99 B106 B113 B120 B127">
      <formula1>статьи_расходов</formula1>
    </dataValidation>
    <dataValidation type="list" allowBlank="1" sqref="B22:B26">
      <formula1>список_статей_расходов_01</formula1>
    </dataValidation>
    <dataValidation type="list" allowBlank="1" sqref="B31:B35">
      <formula1>список_статей_расходов_02</formula1>
    </dataValidation>
    <dataValidation type="list" allowBlank="1" sqref="B40:B44">
      <formula1>список_статей_расходов_03</formula1>
    </dataValidation>
    <dataValidation type="list" allowBlank="1" sqref="B49:B53">
      <formula1>список_статей_расходов_04</formula1>
    </dataValidation>
    <dataValidation type="list" allowBlank="1" sqref="B58:B60">
      <formula1>список_статей_расходов_05</formula1>
    </dataValidation>
    <dataValidation type="list" allowBlank="1" sqref="B65:B67">
      <formula1>список_статей_расходов_06</formula1>
    </dataValidation>
    <dataValidation type="list" allowBlank="1" sqref="B72:B74">
      <formula1>список_статей_расходов_07</formula1>
    </dataValidation>
    <dataValidation type="list" allowBlank="1" sqref="B79:B81">
      <formula1>список_статей_расходов_08</formula1>
    </dataValidation>
    <dataValidation type="list" allowBlank="1" sqref="B86:B88">
      <formula1>список_статей_расходов_09</formula1>
    </dataValidation>
    <dataValidation type="list" allowBlank="1" sqref="B93:B95">
      <formula1>список_статей_расходов_10</formula1>
    </dataValidation>
    <dataValidation type="list" allowBlank="1" sqref="B100:B102">
      <formula1>список_статей_расходов_11</formula1>
    </dataValidation>
    <dataValidation type="list" allowBlank="1" sqref="B107:B109">
      <formula1>список_статей_расходов_12</formula1>
    </dataValidation>
    <dataValidation type="list" allowBlank="1" sqref="B114:B116">
      <formula1>список_статей_расходов_13</formula1>
    </dataValidation>
    <dataValidation type="list" allowBlank="1" sqref="B121:B123">
      <formula1>список_статей_расходов_14</formula1>
    </dataValidation>
    <dataValidation type="list" allowBlank="1" sqref="B128:B130">
      <formula1>список_статей_расходов_15</formula1>
    </dataValidation>
  </dataValidations>
  <pageMargins left="0.7" right="0.7" top="0.75" bottom="0.75" header="0.3" footer="0.3"/>
  <pageSetup paperSize="9" fitToHeight="0" orientation="landscape" r:id="rId1"/>
  <colBreaks count="1" manualBreakCount="1">
    <brk id="16" max="1048575" man="1"/>
  </colBreaks>
  <drawing r:id="rId2"/>
  <picture r:id="rId3"/>
  <tableParts count="17">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3"/>
    <pageSetUpPr fitToPage="1"/>
  </sheetPr>
  <dimension ref="A1:L59"/>
  <sheetViews>
    <sheetView showGridLines="0" workbookViewId="0"/>
  </sheetViews>
  <sheetFormatPr defaultRowHeight="18.75" customHeight="1"/>
  <cols>
    <col min="1" max="1" width="6.7109375" customWidth="1"/>
    <col min="2" max="2" width="31.7109375" bestFit="1" customWidth="1"/>
    <col min="3" max="3" width="4.28515625" customWidth="1"/>
    <col min="4" max="4" width="24.28515625" customWidth="1"/>
    <col min="5" max="5" width="4.28515625" customWidth="1"/>
    <col min="6" max="6" width="33" bestFit="1" customWidth="1"/>
    <col min="7" max="7" width="3.85546875" customWidth="1"/>
    <col min="8" max="8" width="37.7109375" bestFit="1" customWidth="1"/>
    <col min="9" max="9" width="3.85546875" customWidth="1"/>
    <col min="10" max="10" width="46.85546875" bestFit="1" customWidth="1"/>
    <col min="11" max="11" width="12.85546875" customWidth="1"/>
    <col min="12" max="12" width="13.5703125" customWidth="1"/>
    <col min="13" max="13" width="19.85546875" customWidth="1"/>
    <col min="14" max="14" width="21.42578125" customWidth="1"/>
    <col min="15" max="15" width="21.7109375" customWidth="1"/>
    <col min="16" max="16" width="18.7109375" customWidth="1"/>
    <col min="17" max="17" width="13.5703125" customWidth="1"/>
    <col min="18" max="18" width="17.85546875" customWidth="1"/>
    <col min="19" max="19" width="14" customWidth="1"/>
    <col min="20" max="20" width="16" customWidth="1"/>
  </cols>
  <sheetData>
    <row r="1" spans="1:12" ht="34.5" customHeight="1">
      <c r="A1" s="5"/>
      <c r="B1" s="23" t="s">
        <v>9</v>
      </c>
      <c r="C1" s="22"/>
      <c r="D1" s="10"/>
      <c r="E1" s="5"/>
      <c r="F1" s="5"/>
      <c r="G1" s="5"/>
      <c r="H1" s="5"/>
      <c r="I1" s="5"/>
      <c r="J1" s="5"/>
      <c r="K1" s="5"/>
      <c r="L1" s="5"/>
    </row>
    <row r="2" spans="1:12" ht="21.75" customHeight="1">
      <c r="B2" s="21" t="s">
        <v>1</v>
      </c>
      <c r="D2" s="21" t="s">
        <v>10</v>
      </c>
      <c r="F2" s="35"/>
      <c r="G2" s="35"/>
      <c r="H2" s="35"/>
      <c r="I2" s="35"/>
      <c r="J2" s="35"/>
      <c r="K2" s="35"/>
    </row>
    <row r="3" spans="1:12" ht="18.75" customHeight="1">
      <c r="B3" t="s">
        <v>2</v>
      </c>
      <c r="D3" t="s">
        <v>0</v>
      </c>
      <c r="F3" s="35"/>
      <c r="G3" s="35"/>
      <c r="H3" s="35"/>
      <c r="I3" s="35"/>
      <c r="J3" s="35"/>
      <c r="K3" s="35"/>
    </row>
    <row r="4" spans="1:12" ht="18.75" customHeight="1">
      <c r="B4" t="s">
        <v>3</v>
      </c>
      <c r="D4" t="s">
        <v>11</v>
      </c>
      <c r="F4" s="20" t="s">
        <v>11</v>
      </c>
      <c r="H4" s="20" t="s">
        <v>12</v>
      </c>
      <c r="J4" s="20" t="s">
        <v>13</v>
      </c>
    </row>
    <row r="5" spans="1:12" ht="18.75" customHeight="1">
      <c r="B5" t="s">
        <v>4</v>
      </c>
      <c r="D5" t="s">
        <v>12</v>
      </c>
      <c r="F5" s="20" t="s">
        <v>26</v>
      </c>
      <c r="H5" s="20" t="s">
        <v>38</v>
      </c>
      <c r="J5" s="20" t="s">
        <v>45</v>
      </c>
    </row>
    <row r="6" spans="1:12" ht="18.75" customHeight="1">
      <c r="B6" t="s">
        <v>5</v>
      </c>
      <c r="D6" t="s">
        <v>13</v>
      </c>
      <c r="F6" s="20" t="s">
        <v>27</v>
      </c>
      <c r="H6" s="20" t="s">
        <v>39</v>
      </c>
      <c r="J6" s="20" t="s">
        <v>40</v>
      </c>
    </row>
    <row r="7" spans="1:12" ht="18.75" customHeight="1">
      <c r="B7" t="s">
        <v>6</v>
      </c>
      <c r="D7" t="s">
        <v>14</v>
      </c>
      <c r="F7" s="20" t="s">
        <v>28</v>
      </c>
      <c r="H7" s="20" t="s">
        <v>40</v>
      </c>
      <c r="J7" s="20" t="s">
        <v>46</v>
      </c>
    </row>
    <row r="8" spans="1:12" ht="18.75" customHeight="1">
      <c r="B8" t="s">
        <v>7</v>
      </c>
      <c r="D8" t="s">
        <v>15</v>
      </c>
      <c r="F8" s="20" t="s">
        <v>29</v>
      </c>
      <c r="H8" s="20" t="s">
        <v>41</v>
      </c>
      <c r="J8" s="20" t="s">
        <v>47</v>
      </c>
    </row>
    <row r="9" spans="1:12" ht="18.75" customHeight="1">
      <c r="B9" t="s">
        <v>8</v>
      </c>
      <c r="D9" t="s">
        <v>16</v>
      </c>
      <c r="F9" s="20" t="s">
        <v>30</v>
      </c>
      <c r="H9" s="20" t="s">
        <v>42</v>
      </c>
      <c r="J9" s="20" t="s">
        <v>48</v>
      </c>
    </row>
    <row r="10" spans="1:12" ht="18.75" customHeight="1">
      <c r="D10" t="s">
        <v>17</v>
      </c>
      <c r="F10" s="20" t="s">
        <v>31</v>
      </c>
      <c r="H10" s="20" t="s">
        <v>43</v>
      </c>
      <c r="J10" s="20" t="s">
        <v>49</v>
      </c>
    </row>
    <row r="11" spans="1:12" ht="18.75" customHeight="1">
      <c r="D11" t="s">
        <v>18</v>
      </c>
      <c r="F11" s="20" t="s">
        <v>32</v>
      </c>
      <c r="H11" s="20" t="s">
        <v>44</v>
      </c>
      <c r="J11" s="20" t="s">
        <v>50</v>
      </c>
    </row>
    <row r="12" spans="1:12" ht="18.75" customHeight="1">
      <c r="D12" t="s">
        <v>19</v>
      </c>
      <c r="F12" s="20" t="s">
        <v>33</v>
      </c>
      <c r="H12" s="20" t="s">
        <v>8</v>
      </c>
      <c r="J12" s="20" t="s">
        <v>8</v>
      </c>
    </row>
    <row r="13" spans="1:12" ht="18.75" customHeight="1">
      <c r="D13" t="s">
        <v>20</v>
      </c>
      <c r="F13" s="20" t="s">
        <v>34</v>
      </c>
    </row>
    <row r="14" spans="1:12" ht="18.75" customHeight="1">
      <c r="D14" t="s">
        <v>21</v>
      </c>
      <c r="F14" s="20" t="s">
        <v>35</v>
      </c>
    </row>
    <row r="15" spans="1:12" ht="18.75" customHeight="1">
      <c r="D15" t="s">
        <v>22</v>
      </c>
      <c r="F15" s="20" t="s">
        <v>36</v>
      </c>
    </row>
    <row r="16" spans="1:12" ht="18.75" customHeight="1">
      <c r="D16" t="s">
        <v>23</v>
      </c>
      <c r="F16" s="20" t="s">
        <v>37</v>
      </c>
    </row>
    <row r="17" spans="4:10" ht="18.75" customHeight="1">
      <c r="D17" t="s">
        <v>24</v>
      </c>
      <c r="F17" s="20" t="s">
        <v>8</v>
      </c>
    </row>
    <row r="18" spans="4:10" ht="18.75" customHeight="1">
      <c r="D18" t="s">
        <v>25</v>
      </c>
    </row>
    <row r="20" spans="4:10" ht="18.75" customHeight="1">
      <c r="F20" s="20" t="s">
        <v>14</v>
      </c>
      <c r="H20" s="20" t="s">
        <v>15</v>
      </c>
      <c r="J20" s="20" t="s">
        <v>16</v>
      </c>
    </row>
    <row r="21" spans="4:10" ht="18.75" customHeight="1">
      <c r="F21" s="20" t="s">
        <v>51</v>
      </c>
      <c r="H21" s="20" t="s">
        <v>56</v>
      </c>
      <c r="J21" s="20" t="s">
        <v>59</v>
      </c>
    </row>
    <row r="22" spans="4:10" ht="18.75" customHeight="1">
      <c r="F22" s="20" t="s">
        <v>52</v>
      </c>
      <c r="H22" s="20" t="s">
        <v>57</v>
      </c>
      <c r="J22" s="20" t="s">
        <v>15</v>
      </c>
    </row>
    <row r="23" spans="4:10" ht="18.75" customHeight="1">
      <c r="F23" s="20" t="s">
        <v>53</v>
      </c>
      <c r="H23" s="20" t="s">
        <v>58</v>
      </c>
      <c r="J23" s="20" t="s">
        <v>60</v>
      </c>
    </row>
    <row r="24" spans="4:10" ht="18.75" customHeight="1">
      <c r="F24" s="20" t="s">
        <v>54</v>
      </c>
      <c r="H24" s="20" t="s">
        <v>131</v>
      </c>
      <c r="J24" s="20" t="s">
        <v>61</v>
      </c>
    </row>
    <row r="25" spans="4:10" ht="18.75" customHeight="1">
      <c r="F25" s="20" t="s">
        <v>55</v>
      </c>
      <c r="H25" s="20" t="s">
        <v>8</v>
      </c>
      <c r="J25" s="20" t="s">
        <v>8</v>
      </c>
    </row>
    <row r="26" spans="4:10" ht="18.75" customHeight="1">
      <c r="F26" s="20" t="s">
        <v>8</v>
      </c>
    </row>
    <row r="29" spans="4:10" ht="18.75" customHeight="1">
      <c r="F29" s="20" t="s">
        <v>17</v>
      </c>
      <c r="H29" s="20" t="s">
        <v>18</v>
      </c>
      <c r="J29" s="20" t="s">
        <v>19</v>
      </c>
    </row>
    <row r="30" spans="4:10" ht="18.75" customHeight="1">
      <c r="F30" s="20" t="s">
        <v>62</v>
      </c>
      <c r="H30" s="20" t="s">
        <v>65</v>
      </c>
      <c r="J30" s="20" t="s">
        <v>68</v>
      </c>
    </row>
    <row r="31" spans="4:10" ht="18.75" customHeight="1">
      <c r="F31" s="20" t="s">
        <v>63</v>
      </c>
      <c r="H31" s="20" t="s">
        <v>67</v>
      </c>
      <c r="J31" s="20" t="s">
        <v>69</v>
      </c>
    </row>
    <row r="32" spans="4:10" ht="18.75" customHeight="1">
      <c r="F32" s="20" t="s">
        <v>64</v>
      </c>
      <c r="H32" s="20" t="s">
        <v>66</v>
      </c>
      <c r="J32" s="20" t="s">
        <v>70</v>
      </c>
    </row>
    <row r="33" spans="6:10" ht="18.75" customHeight="1">
      <c r="F33" s="20" t="s">
        <v>8</v>
      </c>
      <c r="H33" s="20" t="s">
        <v>8</v>
      </c>
      <c r="J33" s="20" t="s">
        <v>71</v>
      </c>
    </row>
    <row r="34" spans="6:10" ht="18.75" customHeight="1">
      <c r="J34" s="20" t="s">
        <v>72</v>
      </c>
    </row>
    <row r="35" spans="6:10" ht="18.75" customHeight="1">
      <c r="J35" s="20" t="s">
        <v>8</v>
      </c>
    </row>
    <row r="38" spans="6:10" ht="18.75" customHeight="1">
      <c r="F38" s="20" t="s">
        <v>20</v>
      </c>
      <c r="H38" s="20" t="s">
        <v>21</v>
      </c>
      <c r="J38" s="20" t="s">
        <v>22</v>
      </c>
    </row>
    <row r="39" spans="6:10" ht="18.75" customHeight="1">
      <c r="F39" s="20" t="s">
        <v>73</v>
      </c>
      <c r="H39" s="20" t="s">
        <v>84</v>
      </c>
      <c r="J39" s="20" t="s">
        <v>95</v>
      </c>
    </row>
    <row r="40" spans="6:10" ht="18.75" customHeight="1">
      <c r="F40" s="20" t="s">
        <v>74</v>
      </c>
      <c r="H40" s="20" t="s">
        <v>85</v>
      </c>
      <c r="J40" s="20" t="s">
        <v>45</v>
      </c>
    </row>
    <row r="41" spans="6:10" ht="18.75" customHeight="1">
      <c r="F41" s="20" t="s">
        <v>75</v>
      </c>
      <c r="H41" s="20" t="s">
        <v>86</v>
      </c>
      <c r="J41" s="20" t="s">
        <v>96</v>
      </c>
    </row>
    <row r="42" spans="6:10" ht="18.75" customHeight="1">
      <c r="F42" s="20" t="s">
        <v>76</v>
      </c>
      <c r="H42" s="20" t="s">
        <v>87</v>
      </c>
      <c r="J42" s="20" t="s">
        <v>8</v>
      </c>
    </row>
    <row r="43" spans="6:10" ht="18.75" customHeight="1">
      <c r="F43" s="20" t="s">
        <v>77</v>
      </c>
      <c r="H43" s="20" t="s">
        <v>88</v>
      </c>
    </row>
    <row r="44" spans="6:10" ht="18.75" customHeight="1">
      <c r="F44" s="20" t="s">
        <v>78</v>
      </c>
      <c r="H44" s="20" t="s">
        <v>89</v>
      </c>
    </row>
    <row r="45" spans="6:10" ht="18.75" customHeight="1">
      <c r="F45" s="20" t="s">
        <v>79</v>
      </c>
      <c r="H45" s="20" t="s">
        <v>63</v>
      </c>
    </row>
    <row r="46" spans="6:10" ht="18.75" customHeight="1">
      <c r="F46" s="20" t="s">
        <v>80</v>
      </c>
      <c r="H46" s="20" t="s">
        <v>90</v>
      </c>
    </row>
    <row r="47" spans="6:10" ht="18.75" customHeight="1">
      <c r="F47" s="20" t="s">
        <v>81</v>
      </c>
      <c r="H47" s="20" t="s">
        <v>91</v>
      </c>
    </row>
    <row r="48" spans="6:10" ht="18.75" customHeight="1">
      <c r="F48" s="20" t="s">
        <v>82</v>
      </c>
      <c r="H48" s="20" t="s">
        <v>92</v>
      </c>
    </row>
    <row r="49" spans="6:10" ht="18.75" customHeight="1">
      <c r="F49" s="20" t="s">
        <v>83</v>
      </c>
      <c r="H49" s="20" t="s">
        <v>93</v>
      </c>
    </row>
    <row r="50" spans="6:10" ht="18.75" customHeight="1">
      <c r="F50" s="20" t="s">
        <v>8</v>
      </c>
      <c r="H50" s="20" t="s">
        <v>94</v>
      </c>
    </row>
    <row r="51" spans="6:10" ht="18.75" customHeight="1">
      <c r="H51" s="20" t="s">
        <v>8</v>
      </c>
    </row>
    <row r="53" spans="6:10" ht="18.75" customHeight="1">
      <c r="F53" s="20" t="s">
        <v>23</v>
      </c>
      <c r="H53" s="20" t="s">
        <v>24</v>
      </c>
      <c r="J53" s="20" t="s">
        <v>25</v>
      </c>
    </row>
    <row r="54" spans="6:10" ht="18.75" customHeight="1">
      <c r="F54" s="20" t="s">
        <v>97</v>
      </c>
      <c r="H54" s="20" t="s">
        <v>132</v>
      </c>
      <c r="J54" s="20" t="s">
        <v>103</v>
      </c>
    </row>
    <row r="55" spans="6:10" ht="18.75" customHeight="1">
      <c r="F55" s="20" t="s">
        <v>98</v>
      </c>
      <c r="H55" s="20" t="s">
        <v>101</v>
      </c>
      <c r="J55" s="20" t="s">
        <v>104</v>
      </c>
    </row>
    <row r="56" spans="6:10" ht="18.75" customHeight="1">
      <c r="F56" s="20" t="s">
        <v>99</v>
      </c>
      <c r="H56" s="20" t="s">
        <v>95</v>
      </c>
      <c r="J56" s="20" t="s">
        <v>8</v>
      </c>
    </row>
    <row r="57" spans="6:10" ht="18.75" customHeight="1">
      <c r="F57" s="20" t="s">
        <v>100</v>
      </c>
      <c r="H57" s="20" t="s">
        <v>102</v>
      </c>
    </row>
    <row r="58" spans="6:10" ht="18.75" customHeight="1">
      <c r="F58" s="20" t="s">
        <v>8</v>
      </c>
      <c r="H58" s="20" t="s">
        <v>21</v>
      </c>
    </row>
    <row r="59" spans="6:10" ht="18.75" customHeight="1">
      <c r="H59" s="20" t="s">
        <v>8</v>
      </c>
    </row>
  </sheetData>
  <pageMargins left="0.7" right="0.7" top="0.75" bottom="0.75" header="0.3" footer="0.3"/>
  <pageSetup paperSize="9" scale="43" fitToHeight="0" orientation="portrait" r:id="rId1"/>
  <drawing r:id="rId2"/>
  <picture r:id="rId3"/>
  <tableParts count="17">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1:P40"/>
  <sheetViews>
    <sheetView showGridLines="0" workbookViewId="0"/>
  </sheetViews>
  <sheetFormatPr defaultRowHeight="14.25"/>
  <cols>
    <col min="2" max="2" width="32.28515625" customWidth="1"/>
  </cols>
  <sheetData>
    <row r="1" spans="2:16">
      <c r="B1" t="s">
        <v>127</v>
      </c>
    </row>
    <row r="4" spans="2:16">
      <c r="B4" t="s">
        <v>105</v>
      </c>
      <c r="C4">
        <v>3</v>
      </c>
    </row>
    <row r="5" spans="2:16">
      <c r="D5" s="2"/>
      <c r="E5" s="2"/>
      <c r="F5" s="2"/>
      <c r="G5" s="2"/>
      <c r="H5" s="2"/>
      <c r="I5" s="2"/>
      <c r="J5" s="2"/>
      <c r="K5" s="2"/>
      <c r="L5" s="2"/>
      <c r="M5" s="2"/>
      <c r="N5" s="2"/>
      <c r="O5" s="2"/>
    </row>
    <row r="6" spans="2:16">
      <c r="C6" t="s">
        <v>106</v>
      </c>
      <c r="D6" t="s">
        <v>107</v>
      </c>
      <c r="E6" t="s">
        <v>108</v>
      </c>
      <c r="F6" t="s">
        <v>109</v>
      </c>
      <c r="G6" t="s">
        <v>110</v>
      </c>
      <c r="H6" t="s">
        <v>111</v>
      </c>
      <c r="I6" t="s">
        <v>112</v>
      </c>
      <c r="J6" t="s">
        <v>113</v>
      </c>
      <c r="K6" t="s">
        <v>114</v>
      </c>
      <c r="L6" t="s">
        <v>126</v>
      </c>
      <c r="M6" t="s">
        <v>115</v>
      </c>
      <c r="N6" t="s">
        <v>116</v>
      </c>
      <c r="O6" t="s">
        <v>117</v>
      </c>
      <c r="P6" t="s">
        <v>118</v>
      </c>
    </row>
    <row r="7" spans="2:16">
      <c r="B7" s="2" t="str">
        <f>LOWER(Бюджет!B127)</f>
        <v xml:space="preserve"> </v>
      </c>
      <c r="C7" s="1">
        <f>SUM(tblСтатьяРасходов_15[jan])</f>
        <v>0</v>
      </c>
      <c r="D7" s="1">
        <f>SUM(tblСтатьяРасходов_15[feb])</f>
        <v>0</v>
      </c>
      <c r="E7" s="1">
        <f>SUM(tblСтатьяРасходов_15[mar])</f>
        <v>0</v>
      </c>
      <c r="F7" s="1">
        <f>SUM(tblСтатьяРасходов_15[apr])</f>
        <v>0</v>
      </c>
      <c r="G7" s="1">
        <f>SUM(tblСтатьяРасходов_15[may])</f>
        <v>0</v>
      </c>
      <c r="H7" s="1">
        <f>SUM(tblСтатьяРасходов_15[jun])</f>
        <v>0</v>
      </c>
      <c r="I7" s="1">
        <f>SUM(tblСтатьяРасходов_15[jul])</f>
        <v>0</v>
      </c>
      <c r="J7" s="1">
        <f>SUM(tblСтатьяРасходов_15[aug])</f>
        <v>0</v>
      </c>
      <c r="K7" s="1">
        <f>SUM(tblСтатьяРасходов_15[sep])</f>
        <v>0</v>
      </c>
      <c r="L7" s="1">
        <f>SUM(tblСтатьяРасходов_15[oct])</f>
        <v>0</v>
      </c>
      <c r="M7" s="1">
        <f>SUM(tblСтатьяРасходов_15[nov])</f>
        <v>0</v>
      </c>
      <c r="N7" s="1">
        <f>SUM(tblСтатьяРасходов_15[dec])</f>
        <v>0</v>
      </c>
      <c r="O7" s="1">
        <f>SUM(tblСтатьяРасходов_15[year])</f>
        <v>0</v>
      </c>
      <c r="P7" s="1">
        <f>SUM(tblСтатьяРасходов_15[avg])</f>
        <v>0</v>
      </c>
    </row>
    <row r="8" spans="2:16">
      <c r="B8" s="2" t="str">
        <f>LOWER(Бюджет!B120)</f>
        <v xml:space="preserve"> </v>
      </c>
      <c r="C8" s="1">
        <f>SUM(tblСтатьяРасходов_14[jan])</f>
        <v>0</v>
      </c>
      <c r="D8" s="1">
        <f>SUM(tblСтатьяРасходов_14[feb])</f>
        <v>0</v>
      </c>
      <c r="E8" s="1">
        <f>SUM(tblСтатьяРасходов_14[mar])</f>
        <v>0</v>
      </c>
      <c r="F8" s="1">
        <f>SUM(tblСтатьяРасходов_14[apr])</f>
        <v>0</v>
      </c>
      <c r="G8" s="1">
        <f>SUM(tblСтатьяРасходов_14[may])</f>
        <v>0</v>
      </c>
      <c r="H8" s="1">
        <f>SUM(tblСтатьяРасходов_14[jun])</f>
        <v>0</v>
      </c>
      <c r="I8" s="1">
        <f>SUM(tblСтатьяРасходов_14[jul])</f>
        <v>0</v>
      </c>
      <c r="J8" s="1">
        <f>SUM(tblСтатьяРасходов_14[aug])</f>
        <v>0</v>
      </c>
      <c r="K8" s="1">
        <f>SUM(tblСтатьяРасходов_14[sep])</f>
        <v>0</v>
      </c>
      <c r="L8" s="1">
        <f>SUM(tblСтатьяРасходов_14[oct])</f>
        <v>0</v>
      </c>
      <c r="M8" s="1">
        <f>SUM(tblСтатьяРасходов_14[nov])</f>
        <v>0</v>
      </c>
      <c r="N8" s="1">
        <f>SUM(tblСтатьяРасходов_14[dec])</f>
        <v>0</v>
      </c>
      <c r="O8" s="1">
        <f>SUM(tblСтатьяРасходов_14[year])</f>
        <v>0</v>
      </c>
      <c r="P8" s="1">
        <f>SUM(tblСтатьяРасходов_14[avg])</f>
        <v>0</v>
      </c>
    </row>
    <row r="9" spans="2:16">
      <c r="B9" s="2" t="str">
        <f>LOWER(Бюджет!B113)</f>
        <v xml:space="preserve"> </v>
      </c>
      <c r="C9" s="1">
        <f>SUM(tblСтатьяРасходов_13[jan])</f>
        <v>0</v>
      </c>
      <c r="D9" s="1">
        <f>SUM(tblСтатьяРасходов_13[feb])</f>
        <v>0</v>
      </c>
      <c r="E9" s="1">
        <f>SUM(tblСтатьяРасходов_13[mar])</f>
        <v>0</v>
      </c>
      <c r="F9" s="1">
        <f>SUM(tblСтатьяРасходов_13[apr])</f>
        <v>0</v>
      </c>
      <c r="G9" s="1">
        <f>SUM(tblСтатьяРасходов_13[may])</f>
        <v>0</v>
      </c>
      <c r="H9" s="1">
        <f>SUM(tblСтатьяРасходов_13[jun])</f>
        <v>0</v>
      </c>
      <c r="I9" s="1">
        <f>SUM(tblСтатьяРасходов_13[jul])</f>
        <v>0</v>
      </c>
      <c r="J9" s="1">
        <f>SUM(tblСтатьяРасходов_13[aug])</f>
        <v>0</v>
      </c>
      <c r="K9" s="1">
        <f>SUM(tblСтатьяРасходов_13[sep])</f>
        <v>0</v>
      </c>
      <c r="L9" s="1">
        <f>SUM(tblСтатьяРасходов_13[oct])</f>
        <v>0</v>
      </c>
      <c r="M9" s="1">
        <f>SUM(tblСтатьяРасходов_13[nov])</f>
        <v>0</v>
      </c>
      <c r="N9" s="1">
        <f>SUM(tblСтатьяРасходов_13[dec])</f>
        <v>0</v>
      </c>
      <c r="O9" s="1">
        <f>SUM(tblСтатьяРасходов_13[year])</f>
        <v>0</v>
      </c>
      <c r="P9" s="1">
        <f>SUM(tblСтатьяРасходов_13[avg])</f>
        <v>0</v>
      </c>
    </row>
    <row r="10" spans="2:16">
      <c r="B10" s="2" t="str">
        <f>LOWER(Бюджет!B106)</f>
        <v xml:space="preserve"> </v>
      </c>
      <c r="C10" s="1">
        <f>SUM(tblСтатьяРасходов_12[jan])</f>
        <v>0</v>
      </c>
      <c r="D10" s="1">
        <f>SUM(tblСтатьяРасходов_12[feb])</f>
        <v>0</v>
      </c>
      <c r="E10" s="1">
        <f>SUM(tblСтатьяРасходов_12[mar])</f>
        <v>0</v>
      </c>
      <c r="F10" s="1">
        <f>SUM(tblСтатьяРасходов_12[apr])</f>
        <v>0</v>
      </c>
      <c r="G10" s="1">
        <f>SUM(tblСтатьяРасходов_12[may])</f>
        <v>0</v>
      </c>
      <c r="H10" s="1">
        <f>SUM(tblСтатьяРасходов_12[jun])</f>
        <v>0</v>
      </c>
      <c r="I10" s="1">
        <f>SUM(tblСтатьяРасходов_12[jul])</f>
        <v>0</v>
      </c>
      <c r="J10" s="1">
        <f>SUM(tblСтатьяРасходов_12[aug])</f>
        <v>0</v>
      </c>
      <c r="K10" s="1">
        <f>SUM(tblСтатьяРасходов_12[sep])</f>
        <v>0</v>
      </c>
      <c r="L10" s="1">
        <f>SUM(tblСтатьяРасходов_12[oct])</f>
        <v>0</v>
      </c>
      <c r="M10" s="1">
        <f>SUM(tblСтатьяРасходов_12[nov])</f>
        <v>0</v>
      </c>
      <c r="N10" s="1">
        <f>SUM(tblСтатьяРасходов_12[dec])</f>
        <v>0</v>
      </c>
      <c r="O10" s="1">
        <f>SUM(tblСтатьяРасходов_12[year])</f>
        <v>0</v>
      </c>
      <c r="P10" s="1">
        <f>SUM(tblСтатьяРасходов_12[avg])</f>
        <v>0</v>
      </c>
    </row>
    <row r="11" spans="2:16">
      <c r="B11" s="2" t="str">
        <f>LOWER(Бюджет!B99)</f>
        <v xml:space="preserve"> </v>
      </c>
      <c r="C11" s="1">
        <f>SUM(tblСтатьяРасходов_11[jan])</f>
        <v>0</v>
      </c>
      <c r="D11" s="1">
        <f>SUM(tblСтатьяРасходов_11[feb])</f>
        <v>0</v>
      </c>
      <c r="E11" s="1">
        <f>SUM(tblСтатьяРасходов_11[mar])</f>
        <v>0</v>
      </c>
      <c r="F11" s="1">
        <f>SUM(tblСтатьяРасходов_11[apr])</f>
        <v>0</v>
      </c>
      <c r="G11" s="1">
        <f>SUM(tblСтатьяРасходов_11[may])</f>
        <v>0</v>
      </c>
      <c r="H11" s="1">
        <f>SUM(tblСтатьяРасходов_11[jun])</f>
        <v>0</v>
      </c>
      <c r="I11" s="1">
        <f>SUM(tblСтатьяРасходов_11[jul])</f>
        <v>0</v>
      </c>
      <c r="J11" s="1">
        <f>SUM(tblСтатьяРасходов_11[aug])</f>
        <v>0</v>
      </c>
      <c r="K11" s="1">
        <f>SUM(tblСтатьяРасходов_11[sep])</f>
        <v>0</v>
      </c>
      <c r="L11" s="1">
        <f>SUM(tblСтатьяРасходов_11[oct])</f>
        <v>0</v>
      </c>
      <c r="M11" s="1">
        <f>SUM(tblСтатьяРасходов_11[nov])</f>
        <v>0</v>
      </c>
      <c r="N11" s="1">
        <f>SUM(tblСтатьяРасходов_11[dec])</f>
        <v>0</v>
      </c>
      <c r="O11" s="1">
        <f>SUM(tblСтатьяРасходов_11[year])</f>
        <v>0</v>
      </c>
      <c r="P11" s="1">
        <f>SUM(tblСтатьяРасходов_11[avg])</f>
        <v>0</v>
      </c>
    </row>
    <row r="12" spans="2:16">
      <c r="B12" s="2" t="str">
        <f>LOWER(Бюджет!B92)</f>
        <v>выплаты</v>
      </c>
      <c r="C12" s="1">
        <f>SUM(tblСтатьяРасходов_10[jan])</f>
        <v>650</v>
      </c>
      <c r="D12" s="1">
        <f>SUM(tblСтатьяРасходов_10[feb])</f>
        <v>200</v>
      </c>
      <c r="E12" s="1">
        <f>SUM(tblСтатьяРасходов_10[mar])</f>
        <v>200</v>
      </c>
      <c r="F12" s="1">
        <f>SUM(tblСтатьяРасходов_10[apr])</f>
        <v>650</v>
      </c>
      <c r="G12" s="1">
        <f>SUM(tblСтатьяРасходов_10[may])</f>
        <v>200</v>
      </c>
      <c r="H12" s="1">
        <f>SUM(tblСтатьяРасходов_10[jun])</f>
        <v>200</v>
      </c>
      <c r="I12" s="1">
        <f>SUM(tblСтатьяРасходов_10[jul])</f>
        <v>650</v>
      </c>
      <c r="J12" s="1">
        <f>SUM(tblСтатьяРасходов_10[aug])</f>
        <v>200</v>
      </c>
      <c r="K12" s="1">
        <f>SUM(tblСтатьяРасходов_10[sep])</f>
        <v>200</v>
      </c>
      <c r="L12" s="1">
        <f>SUM(tblСтатьяРасходов_10[oct])</f>
        <v>650</v>
      </c>
      <c r="M12" s="1">
        <f>SUM(tblСтатьяРасходов_10[nov])</f>
        <v>200</v>
      </c>
      <c r="N12" s="1">
        <f>SUM(tblСтатьяРасходов_10[dec])</f>
        <v>200</v>
      </c>
      <c r="O12" s="1">
        <f>SUM(tblСтатьяРасходов_10[year])</f>
        <v>4200</v>
      </c>
      <c r="P12" s="1">
        <f>SUM(tblСтатьяРасходов_10[avg])</f>
        <v>350</v>
      </c>
    </row>
    <row r="13" spans="2:16">
      <c r="B13" s="2" t="str">
        <f>LOWER(Бюджет!B85)</f>
        <v>сбережения</v>
      </c>
      <c r="C13" s="1">
        <f>SUM(tblСтатьяРасходов_09[jan])</f>
        <v>800</v>
      </c>
      <c r="D13" s="1">
        <f>SUM(tblСтатьяРасходов_09[feb])</f>
        <v>800</v>
      </c>
      <c r="E13" s="1">
        <f>SUM(tblСтатьяРасходов_09[mar])</f>
        <v>800</v>
      </c>
      <c r="F13" s="1">
        <f>SUM(tblСтатьяРасходов_09[apr])</f>
        <v>800</v>
      </c>
      <c r="G13" s="1">
        <f>SUM(tblСтатьяРасходов_09[may])</f>
        <v>800</v>
      </c>
      <c r="H13" s="1">
        <f>SUM(tblСтатьяРасходов_09[jun])</f>
        <v>500</v>
      </c>
      <c r="I13" s="1">
        <f>SUM(tblСтатьяРасходов_09[jul])</f>
        <v>500</v>
      </c>
      <c r="J13" s="1">
        <f>SUM(tblСтатьяРасходов_09[aug])</f>
        <v>500</v>
      </c>
      <c r="K13" s="1">
        <f>SUM(tblСтатьяРасходов_09[sep])</f>
        <v>800</v>
      </c>
      <c r="L13" s="1">
        <f>SUM(tblСтатьяРасходов_09[oct])</f>
        <v>800</v>
      </c>
      <c r="M13" s="1">
        <f>SUM(tblСтатьяРасходов_09[nov])</f>
        <v>800</v>
      </c>
      <c r="N13" s="1">
        <f>SUM(tblСтатьяРасходов_09[dec])</f>
        <v>800</v>
      </c>
      <c r="O13" s="1">
        <f>SUM(tblСтатьяРасходов_09[year])</f>
        <v>8700</v>
      </c>
      <c r="P13" s="1">
        <f>SUM(tblСтатьяРасходов_09[avg])</f>
        <v>725</v>
      </c>
    </row>
    <row r="14" spans="2:16">
      <c r="B14" s="2" t="str">
        <f>LOWER(Бюджет!B78)</f>
        <v>благотворительность</v>
      </c>
      <c r="C14" s="1">
        <f>SUM(tblСтатьяРасходов_08[jan])</f>
        <v>0</v>
      </c>
      <c r="D14" s="1">
        <f>SUM(tblСтатьяРасходов_08[feb])</f>
        <v>100</v>
      </c>
      <c r="E14" s="1">
        <f>SUM(tblСтатьяРасходов_08[mar])</f>
        <v>100</v>
      </c>
      <c r="F14" s="1">
        <f>SUM(tblСтатьяРасходов_08[apr])</f>
        <v>100</v>
      </c>
      <c r="G14" s="1">
        <f>SUM(tblСтатьяРасходов_08[may])</f>
        <v>100</v>
      </c>
      <c r="H14" s="1">
        <f>SUM(tblСтатьяРасходов_08[jun])</f>
        <v>100</v>
      </c>
      <c r="I14" s="1">
        <f>SUM(tblСтатьяРасходов_08[jul])</f>
        <v>100</v>
      </c>
      <c r="J14" s="1">
        <f>SUM(tblСтатьяРасходов_08[aug])</f>
        <v>100</v>
      </c>
      <c r="K14" s="1">
        <f>SUM(tblСтатьяРасходов_08[sep])</f>
        <v>100</v>
      </c>
      <c r="L14" s="1">
        <f>SUM(tblСтатьяРасходов_08[oct])</f>
        <v>100</v>
      </c>
      <c r="M14" s="1">
        <f>SUM(tblСтатьяРасходов_08[nov])</f>
        <v>100</v>
      </c>
      <c r="N14" s="1">
        <f>SUM(tblСтатьяРасходов_08[dec])</f>
        <v>100</v>
      </c>
      <c r="O14" s="1">
        <f>SUM(tblСтатьяРасходов_08[year])</f>
        <v>1100</v>
      </c>
      <c r="P14" s="1">
        <f>SUM(tblСтатьяРасходов_08[avg])</f>
        <v>91.666666666666657</v>
      </c>
    </row>
    <row r="15" spans="2:16">
      <c r="B15" s="2" t="str">
        <f>LOWER(Бюджет!B71)</f>
        <v>образование</v>
      </c>
      <c r="C15" s="1">
        <f>SUM(tblСтатьяРасходов_07[jan])</f>
        <v>0</v>
      </c>
      <c r="D15" s="1">
        <f>SUM(tblСтатьяРасходов_07[feb])</f>
        <v>0</v>
      </c>
      <c r="E15" s="1">
        <f>SUM(tblСтатьяРасходов_07[mar])</f>
        <v>625</v>
      </c>
      <c r="F15" s="1">
        <f>SUM(tblСтатьяРасходов_07[apr])</f>
        <v>0</v>
      </c>
      <c r="G15" s="1">
        <f>SUM(tblСтатьяРасходов_07[may])</f>
        <v>0</v>
      </c>
      <c r="H15" s="1">
        <f>SUM(tblСтатьяРасходов_07[jun])</f>
        <v>0</v>
      </c>
      <c r="I15" s="1">
        <f>SUM(tblСтатьяРасходов_07[jul])</f>
        <v>0</v>
      </c>
      <c r="J15" s="1">
        <f>SUM(tblСтатьяРасходов_07[aug])</f>
        <v>0</v>
      </c>
      <c r="K15" s="1">
        <f>SUM(tblСтатьяРасходов_07[sep])</f>
        <v>625</v>
      </c>
      <c r="L15" s="1">
        <f>SUM(tblСтатьяРасходов_07[oct])</f>
        <v>0</v>
      </c>
      <c r="M15" s="1">
        <f>SUM(tblСтатьяРасходов_07[nov])</f>
        <v>0</v>
      </c>
      <c r="N15" s="1">
        <f>SUM(tblСтатьяРасходов_07[dec])</f>
        <v>0</v>
      </c>
      <c r="O15" s="1">
        <f>SUM(tblСтатьяРасходов_07[year])</f>
        <v>1250</v>
      </c>
      <c r="P15" s="1">
        <f>SUM(tblСтатьяРасходов_07[avg])</f>
        <v>104.16666666666667</v>
      </c>
    </row>
    <row r="16" spans="2:16">
      <c r="B16" s="2" t="str">
        <f>LOWER(Бюджет!B64)</f>
        <v>страховка</v>
      </c>
      <c r="C16" s="1">
        <f>SUM(tblСтатьяРасходов_06[jan])</f>
        <v>975</v>
      </c>
      <c r="D16" s="1">
        <f>SUM(tblСтатьяРасходов_06[feb])</f>
        <v>975</v>
      </c>
      <c r="E16" s="1">
        <f>SUM(tblСтатьяРасходов_06[mar])</f>
        <v>975</v>
      </c>
      <c r="F16" s="1">
        <f>SUM(tblСтатьяРасходов_06[apr])</f>
        <v>975</v>
      </c>
      <c r="G16" s="1">
        <f>SUM(tblСтатьяРасходов_06[may])</f>
        <v>975</v>
      </c>
      <c r="H16" s="1">
        <f>SUM(tblСтатьяРасходов_06[jun])</f>
        <v>975</v>
      </c>
      <c r="I16" s="1">
        <f>SUM(tblСтатьяРасходов_06[jul])</f>
        <v>975</v>
      </c>
      <c r="J16" s="1">
        <f>SUM(tblСтатьяРасходов_06[aug])</f>
        <v>975</v>
      </c>
      <c r="K16" s="1">
        <f>SUM(tblСтатьяРасходов_06[sep])</f>
        <v>975</v>
      </c>
      <c r="L16" s="1">
        <f>SUM(tblСтатьяРасходов_06[oct])</f>
        <v>975</v>
      </c>
      <c r="M16" s="1">
        <f>SUM(tblСтатьяРасходов_06[nov])</f>
        <v>975</v>
      </c>
      <c r="N16" s="1">
        <f>SUM(tblСтатьяРасходов_06[dec])</f>
        <v>975</v>
      </c>
      <c r="O16" s="1">
        <f>SUM(tblСтатьяРасходов_06[year])</f>
        <v>11700</v>
      </c>
      <c r="P16" s="1">
        <f>SUM(tblСтатьяРасходов_06[avg])</f>
        <v>975</v>
      </c>
    </row>
    <row r="17" spans="2:16">
      <c r="B17" s="2" t="str">
        <f>LOWER(Бюджет!B57)</f>
        <v>здоровье</v>
      </c>
      <c r="C17" s="1">
        <f>SUM(tblСтатьяРасходов_05[jan])</f>
        <v>25</v>
      </c>
      <c r="D17" s="1">
        <f>SUM(tblСтатьяРасходов_05[feb])</f>
        <v>60</v>
      </c>
      <c r="E17" s="1">
        <f>SUM(tblСтатьяРасходов_05[mar])</f>
        <v>175</v>
      </c>
      <c r="F17" s="1">
        <f>SUM(tblСтатьяРасходов_05[apr])</f>
        <v>25</v>
      </c>
      <c r="G17" s="1">
        <f>SUM(tblСтатьяРасходов_05[may])</f>
        <v>60</v>
      </c>
      <c r="H17" s="1">
        <f>SUM(tblСтатьяРасходов_05[jun])</f>
        <v>60</v>
      </c>
      <c r="I17" s="1">
        <f>SUM(tblСтатьяРасходов_05[jul])</f>
        <v>60</v>
      </c>
      <c r="J17" s="1">
        <f>SUM(tblСтатьяРасходов_05[aug])</f>
        <v>25</v>
      </c>
      <c r="K17" s="1">
        <f>SUM(tblСтатьяРасходов_05[sep])</f>
        <v>175</v>
      </c>
      <c r="L17" s="1">
        <f>SUM(tblСтатьяРасходов_05[oct])</f>
        <v>60</v>
      </c>
      <c r="M17" s="1">
        <f>SUM(tblСтатьяРасходов_05[nov])</f>
        <v>25</v>
      </c>
      <c r="N17" s="1">
        <f>SUM(tblСтатьяРасходов_05[dec])</f>
        <v>25</v>
      </c>
      <c r="O17" s="1">
        <f>SUM(tblСтатьяРасходов_05[year])</f>
        <v>775</v>
      </c>
      <c r="P17" s="1">
        <f>SUM(tblСтатьяРасходов_05[avg])</f>
        <v>64.583333333333343</v>
      </c>
    </row>
    <row r="18" spans="2:16">
      <c r="B18" s="2" t="str">
        <f>LOWER(Бюджет!B48)</f>
        <v>транспорт</v>
      </c>
      <c r="C18" s="1">
        <f>SUM(tblСтатьяРасходов_04[jan])</f>
        <v>1110</v>
      </c>
      <c r="D18" s="1">
        <f>SUM(tblСтатьяРасходов_04[feb])</f>
        <v>1025</v>
      </c>
      <c r="E18" s="1">
        <f>SUM(tblСтатьяРасходов_04[mar])</f>
        <v>925</v>
      </c>
      <c r="F18" s="1">
        <f>SUM(tblСтатьяРасходов_04[apr])</f>
        <v>1025</v>
      </c>
      <c r="G18" s="1">
        <f>SUM(tblСтатьяРасходов_04[may])</f>
        <v>1325</v>
      </c>
      <c r="H18" s="1">
        <f>SUM(tblСтатьяРасходов_04[jun])</f>
        <v>1200</v>
      </c>
      <c r="I18" s="1">
        <f>SUM(tblСтатьяРасходов_04[jul])</f>
        <v>1100</v>
      </c>
      <c r="J18" s="1">
        <f>SUM(tblСтатьяРасходов_04[aug])</f>
        <v>1200</v>
      </c>
      <c r="K18" s="1">
        <f>SUM(tblСтатьяРасходов_04[sep])</f>
        <v>1150</v>
      </c>
      <c r="L18" s="1">
        <f>SUM(tblСтатьяРасходов_04[oct])</f>
        <v>1025</v>
      </c>
      <c r="M18" s="1">
        <f>SUM(tblСтатьяРасходов_04[nov])</f>
        <v>925</v>
      </c>
      <c r="N18" s="1">
        <f>SUM(tblСтатьяРасходов_04[dec])</f>
        <v>925</v>
      </c>
      <c r="O18" s="1">
        <f>SUM(tblСтатьяРасходов_04[year])</f>
        <v>12935</v>
      </c>
      <c r="P18" s="1">
        <f>SUM(tblСтатьяРасходов_04[avg])</f>
        <v>1077.9166666666665</v>
      </c>
    </row>
    <row r="19" spans="2:16">
      <c r="B19" s="2" t="str">
        <f>LOWER(Бюджет!B39)</f>
        <v>дети</v>
      </c>
      <c r="C19" s="1">
        <f>SUM(tblСтатьяРасходов_03[jan])</f>
        <v>2373</v>
      </c>
      <c r="D19" s="1">
        <f>SUM(tblСтатьяРасходов_03[feb])</f>
        <v>500</v>
      </c>
      <c r="E19" s="1">
        <f>SUM(tblСтатьяРасходов_03[mar])</f>
        <v>350</v>
      </c>
      <c r="F19" s="1">
        <f>SUM(tblСтатьяРасходов_03[apr])</f>
        <v>250</v>
      </c>
      <c r="G19" s="1">
        <f>SUM(tblСтатьяРасходов_03[may])</f>
        <v>350</v>
      </c>
      <c r="H19" s="1">
        <f>SUM(tblСтатьяРасходов_03[jun])</f>
        <v>450</v>
      </c>
      <c r="I19" s="1">
        <f>SUM(tblСтатьяРасходов_03[jul])</f>
        <v>200</v>
      </c>
      <c r="J19" s="1">
        <f>SUM(tblСтатьяРасходов_03[aug])</f>
        <v>545</v>
      </c>
      <c r="K19" s="1">
        <f>SUM(tblСтатьяРасходов_03[sep])</f>
        <v>350</v>
      </c>
      <c r="L19" s="1">
        <f>SUM(tblСтатьяРасходов_03[oct])</f>
        <v>350</v>
      </c>
      <c r="M19" s="1">
        <f>SUM(tblСтатьяРасходов_03[nov])</f>
        <v>250</v>
      </c>
      <c r="N19" s="1">
        <f>SUM(tblСтатьяРасходов_03[dec])</f>
        <v>350</v>
      </c>
      <c r="O19" s="1">
        <f>SUM(tblСтатьяРасходов_03[year])</f>
        <v>6318</v>
      </c>
      <c r="P19" s="1">
        <f>SUM(tblСтатьяРасходов_03[avg])</f>
        <v>526.5</v>
      </c>
    </row>
    <row r="20" spans="2:16">
      <c r="B20" t="str">
        <f>LOWER(Бюджет!B30)</f>
        <v>бытовые нужды</v>
      </c>
      <c r="C20" s="1">
        <f>SUM(tblСтатьяРасходов_02[jan])</f>
        <v>795</v>
      </c>
      <c r="D20" s="1">
        <f>SUM(tblСтатьяРасходов_02[feb])</f>
        <v>375</v>
      </c>
      <c r="E20" s="1">
        <f>SUM(tblСтатьяРасходов_02[mar])</f>
        <v>550</v>
      </c>
      <c r="F20" s="1">
        <f>SUM(tblСтатьяРасходов_02[apr])</f>
        <v>825</v>
      </c>
      <c r="G20" s="1">
        <f>SUM(tblСтатьяРасходов_02[may])</f>
        <v>500</v>
      </c>
      <c r="H20" s="1">
        <f>SUM(tblСтатьяРасходов_02[jun])</f>
        <v>450</v>
      </c>
      <c r="I20" s="1">
        <f>SUM(tblСтатьяРасходов_02[jul])</f>
        <v>875</v>
      </c>
      <c r="J20" s="1">
        <f>SUM(tblСтатьяРасходов_02[aug])</f>
        <v>475</v>
      </c>
      <c r="K20" s="1">
        <f>SUM(tblСтатьяРасходов_02[sep])</f>
        <v>400</v>
      </c>
      <c r="L20" s="1">
        <f>SUM(tblСтатьяРасходов_02[oct])</f>
        <v>825</v>
      </c>
      <c r="M20" s="1">
        <f>SUM(tblСтатьяРасходов_02[nov])</f>
        <v>575</v>
      </c>
      <c r="N20" s="1">
        <f>SUM(tblСтатьяРасходов_02[dec])</f>
        <v>375</v>
      </c>
      <c r="O20" s="1">
        <f>SUM(tblСтатьяРасходов_02[year])</f>
        <v>7020</v>
      </c>
      <c r="P20" s="1">
        <f>SUM(tblСтатьяРасходов_02[avg])</f>
        <v>585</v>
      </c>
    </row>
    <row r="21" spans="2:16">
      <c r="B21" t="str">
        <f>LOWER(Бюджет!B21)</f>
        <v>жилье</v>
      </c>
      <c r="C21" s="1">
        <f>SUM(tblСтатьяРасходов_01[jan])</f>
        <v>1208</v>
      </c>
      <c r="D21" s="1">
        <f>SUM(tblСтатьяРасходов_01[feb])</f>
        <v>1208</v>
      </c>
      <c r="E21" s="1">
        <f>SUM(tblСтатьяРасходов_01[mar])</f>
        <v>1233</v>
      </c>
      <c r="F21" s="1">
        <f>SUM(tblСтатьяРасходов_01[apr])</f>
        <v>1208</v>
      </c>
      <c r="G21" s="1">
        <f>SUM(tblСтатьяРасходов_01[may])</f>
        <v>1158</v>
      </c>
      <c r="H21" s="1">
        <f>SUM(tblСтатьяРасходов_01[jun])</f>
        <v>1183</v>
      </c>
      <c r="I21" s="1">
        <f>SUM(tblСтатьяРасходов_01[jul])</f>
        <v>1283</v>
      </c>
      <c r="J21" s="1">
        <f>SUM(tblСтатьяРасходов_01[aug])</f>
        <v>1333</v>
      </c>
      <c r="K21" s="1">
        <f>SUM(tblСтатьяРасходов_01[sep])</f>
        <v>1208</v>
      </c>
      <c r="L21" s="1">
        <f>SUM(tblСтатьяРасходов_01[oct])</f>
        <v>1158</v>
      </c>
      <c r="M21" s="1">
        <f>SUM(tblСтатьяРасходов_01[nov])</f>
        <v>1208</v>
      </c>
      <c r="N21" s="1">
        <f>SUM(tblСтатьяРасходов_01[dec])</f>
        <v>1208</v>
      </c>
      <c r="O21" s="1">
        <f>SUM(tblСтатьяРасходов_01[year])</f>
        <v>14596</v>
      </c>
      <c r="P21" s="1">
        <f>SUM(tblСтатьяРасходов_01[avg])</f>
        <v>1216.3333333333335</v>
      </c>
    </row>
    <row r="22" spans="2:16">
      <c r="C22" s="1"/>
      <c r="D22" s="1"/>
      <c r="E22" s="1"/>
      <c r="F22" s="1"/>
      <c r="G22" s="1"/>
      <c r="H22" s="1"/>
      <c r="I22" s="1"/>
      <c r="J22" s="1"/>
      <c r="K22" s="1"/>
      <c r="L22" s="1"/>
      <c r="M22" s="1"/>
      <c r="N22" s="1"/>
      <c r="O22" s="1"/>
      <c r="P22" s="1"/>
    </row>
    <row r="23" spans="2:16">
      <c r="C23" s="1"/>
      <c r="D23" s="1"/>
      <c r="E23" s="1"/>
      <c r="F23" s="1"/>
      <c r="G23" s="1"/>
      <c r="H23" s="1"/>
      <c r="I23" s="1"/>
      <c r="J23" s="1"/>
      <c r="K23" s="1"/>
      <c r="L23" s="1"/>
      <c r="M23" s="1"/>
      <c r="N23" s="1"/>
      <c r="O23" s="1"/>
      <c r="P23" s="1"/>
    </row>
    <row r="24" spans="2:16">
      <c r="C24" s="1"/>
      <c r="D24" s="1"/>
      <c r="E24" s="1"/>
      <c r="F24" s="1"/>
      <c r="G24" s="1"/>
      <c r="H24" s="1"/>
      <c r="I24" s="1"/>
      <c r="J24" s="1"/>
      <c r="K24" s="1"/>
      <c r="L24" s="1"/>
      <c r="M24" s="1"/>
      <c r="N24" s="1"/>
      <c r="O24" s="1"/>
      <c r="P24" s="1"/>
    </row>
    <row r="25" spans="2:16">
      <c r="C25" s="1"/>
      <c r="D25" s="1"/>
      <c r="E25" s="1"/>
      <c r="F25" s="1"/>
      <c r="G25" s="1"/>
      <c r="H25" s="1"/>
      <c r="I25" s="1"/>
      <c r="J25" s="1"/>
      <c r="K25" s="1"/>
      <c r="L25" s="1"/>
      <c r="M25" s="1"/>
      <c r="N25" s="1"/>
      <c r="O25" s="1"/>
      <c r="P25" s="1"/>
    </row>
    <row r="26" spans="2:16">
      <c r="B26" t="s">
        <v>128</v>
      </c>
      <c r="C26" s="1">
        <f>SUM(Бюджет!$C$8:C$8)</f>
        <v>-3714</v>
      </c>
      <c r="D26" s="1">
        <f>SUM(Бюджет!$C$8:D$8)</f>
        <v>76</v>
      </c>
      <c r="E26" s="1">
        <f>SUM(Бюджет!$C$8:E$8)</f>
        <v>-1857</v>
      </c>
      <c r="F26" s="1">
        <f>SUM(Бюджет!$C$8:F$8)</f>
        <v>-3670</v>
      </c>
      <c r="G26" s="1">
        <f>SUM(Бюджет!$C$8:G$8)</f>
        <v>-138</v>
      </c>
      <c r="H26" s="1">
        <f>SUM(Бюджет!$C$8:H$8)</f>
        <v>-3731</v>
      </c>
      <c r="I26" s="1">
        <f>SUM(Бюджет!$C$8:I$8)</f>
        <v>-7974</v>
      </c>
      <c r="J26" s="1">
        <f>SUM(Бюджет!$C$8:J$8)</f>
        <v>-6827</v>
      </c>
      <c r="K26" s="1">
        <f>SUM(Бюджет!$C$8:K$8)</f>
        <v>-8810</v>
      </c>
      <c r="L26" s="1">
        <f>SUM(Бюджет!$C$8:L$8)</f>
        <v>-10753</v>
      </c>
      <c r="M26" s="1">
        <f>SUM(Бюджет!$C$8:M$8)</f>
        <v>-6811</v>
      </c>
      <c r="N26" s="1">
        <f>SUM(Бюджет!$C$8:N$8)</f>
        <v>-7769</v>
      </c>
      <c r="O26" s="1">
        <f>SUM(Бюджет!$C$8:O$8)</f>
        <v>-15538</v>
      </c>
      <c r="P26" s="1"/>
    </row>
    <row r="27" spans="2:16">
      <c r="P27" s="1"/>
    </row>
    <row r="28" spans="2:16">
      <c r="B28" t="s">
        <v>129</v>
      </c>
      <c r="C28" s="1" t="e">
        <f>IF(Бюджет!C$8&lt;0,NA(),IF(период+2&lt;&gt;COLUMN(Бюджет!C$8),NA(),Бюджет!C$8))</f>
        <v>#N/A</v>
      </c>
      <c r="D28" s="3" t="e">
        <f>IF(Бюджет!D$8&lt;0,NA(),IF(период+2&lt;&gt;COLUMN(Бюджет!D$8),NA(),Бюджет!D$8))</f>
        <v>#N/A</v>
      </c>
      <c r="E28" s="3" t="e">
        <f>IF(Бюджет!E$8&lt;0,NA(),IF(период+2&lt;&gt;COLUMN(Бюджет!E$8),NA(),Бюджет!E$8))</f>
        <v>#N/A</v>
      </c>
      <c r="F28" s="3" t="e">
        <f>IF(Бюджет!F$8&lt;0,NA(),IF(период+2&lt;&gt;COLUMN(Бюджет!F$8),NA(),Бюджет!F$8))</f>
        <v>#N/A</v>
      </c>
      <c r="G28" s="3" t="e">
        <f>IF(Бюджет!G$8&lt;0,NA(),IF(период+2&lt;&gt;COLUMN(Бюджет!G$8),NA(),Бюджет!G$8))</f>
        <v>#N/A</v>
      </c>
      <c r="H28" s="3" t="e">
        <f>IF(Бюджет!H$8&lt;0,NA(),IF(период+2&lt;&gt;COLUMN(Бюджет!H$8),NA(),Бюджет!H$8))</f>
        <v>#N/A</v>
      </c>
      <c r="I28" s="3" t="e">
        <f>IF(Бюджет!I$8&lt;0,NA(),IF(период+2&lt;&gt;COLUMN(Бюджет!I$8),NA(),Бюджет!I$8))</f>
        <v>#N/A</v>
      </c>
      <c r="J28" s="3" t="e">
        <f>IF(Бюджет!J$8&lt;0,NA(),IF(период+2&lt;&gt;COLUMN(Бюджет!J$8),NA(),Бюджет!J$8))</f>
        <v>#N/A</v>
      </c>
      <c r="K28" s="3" t="e">
        <f>IF(Бюджет!K$8&lt;0,NA(),IF(период+2&lt;&gt;COLUMN(Бюджет!K$8),NA(),Бюджет!K$8))</f>
        <v>#N/A</v>
      </c>
      <c r="L28" s="3" t="e">
        <f>IF(Бюджет!L$8&lt;0,NA(),IF(период+2&lt;&gt;COLUMN(Бюджет!L$8),NA(),Бюджет!L$8))</f>
        <v>#N/A</v>
      </c>
      <c r="M28" s="3" t="e">
        <f>IF(Бюджет!M$8&lt;0,NA(),IF(период+2&lt;&gt;COLUMN(Бюджет!M$8),NA(),Бюджет!M$8))</f>
        <v>#N/A</v>
      </c>
      <c r="N28" s="3" t="e">
        <f>IF(Бюджет!N$8&lt;0,NA(),IF(период+2&lt;&gt;COLUMN(Бюджет!N$8),NA(),Бюджет!N$8))</f>
        <v>#N/A</v>
      </c>
      <c r="O28" s="3" t="e">
        <f>IF(Бюджет!O$8&lt;0,NA(),IF(период+2&lt;&gt;COLUMN(Бюджет!O$8),NA(),Бюджет!O$8))</f>
        <v>#N/A</v>
      </c>
    </row>
    <row r="29" spans="2:16">
      <c r="B29" t="s">
        <v>130</v>
      </c>
      <c r="C29" s="1" t="e">
        <f>IF(Бюджет!C$8&gt;=0,NA(),IF(период+2&lt;&gt;COLUMN(Бюджет!C$8),NA(),Бюджет!C$8))</f>
        <v>#N/A</v>
      </c>
      <c r="D29" s="3" t="e">
        <f>IF(Бюджет!D$8&gt;=0,NA(),IF(период+2&lt;&gt;COLUMN(Бюджет!D$8),NA(),Бюджет!D$8))</f>
        <v>#N/A</v>
      </c>
      <c r="E29" s="3">
        <f>IF(Бюджет!E$8&gt;=0,NA(),IF(период+2&lt;&gt;COLUMN(Бюджет!E$8),NA(),Бюджет!E$8))</f>
        <v>-1933</v>
      </c>
      <c r="F29" s="3" t="e">
        <f>IF(Бюджет!F$8&gt;=0,NA(),IF(период+2&lt;&gt;COLUMN(Бюджет!F$8),NA(),Бюджет!F$8))</f>
        <v>#N/A</v>
      </c>
      <c r="G29" s="3" t="e">
        <f>IF(Бюджет!G$8&gt;=0,NA(),IF(период+2&lt;&gt;COLUMN(Бюджет!G$8),NA(),Бюджет!G$8))</f>
        <v>#N/A</v>
      </c>
      <c r="H29" s="3" t="e">
        <f>IF(Бюджет!H$8&gt;=0,NA(),IF(период+2&lt;&gt;COLUMN(Бюджет!H$8),NA(),Бюджет!H$8))</f>
        <v>#N/A</v>
      </c>
      <c r="I29" s="3" t="e">
        <f>IF(Бюджет!I$8&gt;=0,NA(),IF(период+2&lt;&gt;COLUMN(Бюджет!I$8),NA(),Бюджет!I$8))</f>
        <v>#N/A</v>
      </c>
      <c r="J29" s="3" t="e">
        <f>IF(Бюджет!J$8&gt;=0,NA(),IF(период+2&lt;&gt;COLUMN(Бюджет!J$8),NA(),Бюджет!J$8))</f>
        <v>#N/A</v>
      </c>
      <c r="K29" s="3" t="e">
        <f>IF(Бюджет!K$8&gt;=0,NA(),IF(период+2&lt;&gt;COLUMN(Бюджет!K$8),NA(),Бюджет!K$8))</f>
        <v>#N/A</v>
      </c>
      <c r="L29" s="3" t="e">
        <f>IF(Бюджет!L$8&gt;=0,NA(),IF(период+2&lt;&gt;COLUMN(Бюджет!L$8),NA(),Бюджет!L$8))</f>
        <v>#N/A</v>
      </c>
      <c r="M29" s="3" t="e">
        <f>IF(Бюджет!M$8&gt;=0,NA(),IF(период+2&lt;&gt;COLUMN(Бюджет!M$8),NA(),Бюджет!M$8))</f>
        <v>#N/A</v>
      </c>
      <c r="N29" s="3" t="e">
        <f>IF(Бюджет!N$8&gt;=0,NA(),IF(период+2&lt;&gt;COLUMN(Бюджет!N$8),NA(),Бюджет!N$8))</f>
        <v>#N/A</v>
      </c>
      <c r="O29" s="3" t="e">
        <f>IF(Бюджет!O$8&gt;=0,NA(),IF(период+2&lt;&gt;COLUMN(Бюджет!O$8),NA(),Бюджет!O$8))</f>
        <v>#N/A</v>
      </c>
    </row>
    <row r="35" spans="2:4">
      <c r="B35" s="2"/>
    </row>
    <row r="37" spans="2:4">
      <c r="B37" t="str">
        <f>отображать_длительный_период</f>
        <v>Март</v>
      </c>
    </row>
    <row r="38" spans="2:4">
      <c r="B38" t="str">
        <f>отображать_длительный_период &amp; " Доходы"</f>
        <v>Март Доходы</v>
      </c>
      <c r="C38" s="36">
        <f>INDEX(Бюджет!$C$6:$P$6,,период)</f>
        <v>4000</v>
      </c>
    </row>
    <row r="39" spans="2:4">
      <c r="B39" t="str">
        <f>отображать_длительный_период &amp; " Расходы: " &amp; TEXT(INDEX(Бюджет!$C$7:$P$7,,период),"# ##0р.")</f>
        <v>Март Расходы: 5 933р.</v>
      </c>
      <c r="C39" s="36">
        <f>INDEX(Бюджет!$C$7:$P$7,,период)</f>
        <v>5933</v>
      </c>
    </row>
    <row r="40" spans="2:4">
      <c r="B40" t="str">
        <f>отображать_длительный_период &amp; "Движение средств"</f>
        <v>МартДвижение средств</v>
      </c>
      <c r="C40" s="36">
        <f>ABS(INDEX(Бюджет!$C$8:$P$8,,период))</f>
        <v>1933</v>
      </c>
      <c r="D40" t="str">
        <f>REPT("-",INDEX(Бюджет!$C$8:$P$8,,период)&lt;0)</f>
        <v>-</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AssetEditForm</Edit>
  <New>DocumentLibraryForm</New>
</FormTemplates>
</file>

<file path=customXml/itemProps1.xml><?xml version="1.0" encoding="utf-8"?>
<ds:datastoreItem xmlns:ds="http://schemas.openxmlformats.org/officeDocument/2006/customXml" ds:itemID="{FC45E4A1-AE48-4D6A-9A6A-B8EF5FA77F8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vt:i4>
      </vt:variant>
      <vt:variant>
        <vt:lpstr>Именованные диапазоны</vt:lpstr>
      </vt:variant>
      <vt:variant>
        <vt:i4>23</vt:i4>
      </vt:variant>
    </vt:vector>
  </HeadingPairs>
  <TitlesOfParts>
    <vt:vector size="27" baseType="lpstr">
      <vt:lpstr>Краткая сводка</vt:lpstr>
      <vt:lpstr>Бюджет</vt:lpstr>
      <vt:lpstr>Настройка</vt:lpstr>
      <vt:lpstr>Данные диаграммы</vt:lpstr>
      <vt:lpstr>shpКнопкаСведения</vt:lpstr>
      <vt:lpstr>доход</vt:lpstr>
      <vt:lpstr>НазваниеБюджета</vt:lpstr>
      <vt:lpstr>НачальнаяЯчейка</vt:lpstr>
      <vt:lpstr>НачальныйБаланс</vt:lpstr>
      <vt:lpstr>период</vt:lpstr>
      <vt:lpstr>Бюджет!Печать_заголовков</vt:lpstr>
      <vt:lpstr>расходы_благотворительность</vt:lpstr>
      <vt:lpstr>расходы_быт_нужды</vt:lpstr>
      <vt:lpstr>расходы_выплаты</vt:lpstr>
      <vt:lpstr>расходы_дети</vt:lpstr>
      <vt:lpstr>расходы_домашние_животные</vt:lpstr>
      <vt:lpstr>расходы_жилье</vt:lpstr>
      <vt:lpstr>расходы_здоровье</vt:lpstr>
      <vt:lpstr>расходы_образование</vt:lpstr>
      <vt:lpstr>расходы_отдых</vt:lpstr>
      <vt:lpstr>расходы_подписки</vt:lpstr>
      <vt:lpstr>расходы_развлечения</vt:lpstr>
      <vt:lpstr>расходы_разное</vt:lpstr>
      <vt:lpstr>расходы_сбережения</vt:lpstr>
      <vt:lpstr>расходы_страховка</vt:lpstr>
      <vt:lpstr>расходы_транспорт</vt:lpstr>
      <vt:lpstr>статьи_расходов</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Generic family budget</dc:title>
  <dc:creator>Captor</dc:creator>
  <cp:lastModifiedBy>Сергей Бойко</cp:lastModifiedBy>
  <dcterms:created xsi:type="dcterms:W3CDTF">2018-02-28T12:47:40Z</dcterms:created>
  <dcterms:modified xsi:type="dcterms:W3CDTF">2019-12-19T11:00:52Z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TC027802329991</vt:lpwstr>
  </property>
</Properties>
</file>