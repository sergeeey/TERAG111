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28680" yWindow="-120" windowWidth="29040" windowHeight="15840" activeTab="1"/>
  </bookViews>
  <sheets>
    <sheet name="Лист1" sheetId="1" r:id="rId1"/>
    <sheet name="Лист2" sheetId="2" r:id="rId2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7" i="1" l="1"/>
  <c r="N3" i="1" l="1"/>
  <c r="N2" i="1" l="1"/>
  <c r="N4" i="1"/>
  <c r="N6" i="1"/>
  <c r="N7" i="1"/>
  <c r="N8" i="1"/>
  <c r="N9" i="1"/>
  <c r="P2" i="1"/>
  <c r="P3" i="1"/>
  <c r="P4" i="1"/>
  <c r="P5" i="1"/>
  <c r="P6" i="1"/>
  <c r="P8" i="1" l="1"/>
  <c r="N10" i="1"/>
</calcChain>
</file>

<file path=xl/sharedStrings.xml><?xml version="1.0" encoding="utf-8"?>
<sst xmlns="http://schemas.openxmlformats.org/spreadsheetml/2006/main" count="25" uniqueCount="24">
  <si>
    <t>янв</t>
  </si>
  <si>
    <t>февр</t>
  </si>
  <si>
    <t>март</t>
  </si>
  <si>
    <t>апрель</t>
  </si>
  <si>
    <t>май</t>
  </si>
  <si>
    <t>июнь</t>
  </si>
  <si>
    <t>июль</t>
  </si>
  <si>
    <t>сентябрь</t>
  </si>
  <si>
    <t>октябрь</t>
  </si>
  <si>
    <t>ноябрь</t>
  </si>
  <si>
    <t>декабрь</t>
  </si>
  <si>
    <t>Итого:</t>
  </si>
  <si>
    <t>Итог</t>
  </si>
  <si>
    <t>август</t>
  </si>
  <si>
    <t>Повышение ЗП</t>
  </si>
  <si>
    <t>Старая ЗП</t>
  </si>
  <si>
    <t xml:space="preserve">ЗП ГСИБ </t>
  </si>
  <si>
    <t>Премия (5 сотр)</t>
  </si>
  <si>
    <t>Консультационные расходы</t>
  </si>
  <si>
    <t>Видеонаблюдение в офис</t>
  </si>
  <si>
    <t>ЗП НачСБ</t>
  </si>
  <si>
    <t>ЗП ГСИБ  (вакансия)</t>
  </si>
  <si>
    <t>ЗП ГСВиЭБ  (вакансия)</t>
  </si>
  <si>
    <t xml:space="preserve">ЗП СВиЭБ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</si>
</sst>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3" fontId="0" fillId="0" borderId="0" xfId="0" applyNumberFormat="1"/>
    <xf numFmtId="3" fontId="0" fillId="0" borderId="0" xfId="0" applyNumberFormat="1" applyFill="1" applyBorder="1"/>
    <xf numFmtId="3" fontId="0" fillId="0" borderId="0" xfId="0" applyNumberFormat="1" applyFill="1"/>
    <xf numFmtId="0" fontId="0" fillId="0" borderId="0" xfId="0" applyFill="1"/>
    <xf numFmtId="0" fontId="0" fillId="0" borderId="1" xfId="0" applyFill="1" applyBorder="1"/>
    <xf numFmtId="0" fontId="0" fillId="2" borderId="1" xfId="0" applyFill="1" applyBorder="1"/>
    <xf numFmtId="3" fontId="0" fillId="0" borderId="1" xfId="0" applyNumberFormat="1" applyFill="1" applyBorder="1"/>
    <xf numFmtId="3" fontId="0" fillId="2" borderId="1" xfId="0" applyNumberFormat="1" applyFill="1" applyBorder="1"/>
    <xf numFmtId="0" fontId="0" fillId="2" borderId="1" xfId="0" applyFill="1" applyBorder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"/>
  <sheetViews>
    <sheetView topLeftCell="B1" zoomScale="120" zoomScaleNormal="120" workbookViewId="0">
      <selection activeCell="C3" sqref="C3"/>
    </sheetView>
  </sheetViews>
  <sheetFormatPr defaultRowHeight="15" x14ac:dyDescent="0.25"/>
  <cols>
    <col min="1" max="1" width="41.5703125" customWidth="1"/>
    <col min="13" max="13" width="9.5703125" bestFit="1" customWidth="1"/>
    <col min="14" max="14" width="12.28515625" customWidth="1"/>
    <col min="15" max="15" width="10.28515625" bestFit="1" customWidth="1"/>
    <col min="16" max="16" width="15.140625" bestFit="1" customWidth="1"/>
  </cols>
  <sheetData>
    <row r="1" spans="1:17" x14ac:dyDescent="0.25">
      <c r="A1" s="5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13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12</v>
      </c>
      <c r="O1" s="6" t="s">
        <v>15</v>
      </c>
      <c r="P1" s="6" t="s">
        <v>14</v>
      </c>
    </row>
    <row r="2" spans="1:17" x14ac:dyDescent="0.25">
      <c r="A2" s="5" t="s">
        <v>20</v>
      </c>
      <c r="B2" s="7">
        <v>600000</v>
      </c>
      <c r="C2" s="7">
        <v>800000</v>
      </c>
      <c r="D2" s="7">
        <v>800000</v>
      </c>
      <c r="E2" s="7">
        <v>800000</v>
      </c>
      <c r="F2" s="7">
        <v>800000</v>
      </c>
      <c r="G2" s="7">
        <v>800000</v>
      </c>
      <c r="H2" s="7">
        <v>800000</v>
      </c>
      <c r="I2" s="7">
        <v>800000</v>
      </c>
      <c r="J2" s="7">
        <v>800000</v>
      </c>
      <c r="K2" s="7">
        <v>800000</v>
      </c>
      <c r="L2" s="7">
        <v>800000</v>
      </c>
      <c r="M2" s="7">
        <v>800000</v>
      </c>
      <c r="N2" s="7">
        <f>SUM(B2:M2)</f>
        <v>9400000</v>
      </c>
      <c r="O2" s="8">
        <v>600000</v>
      </c>
      <c r="P2" s="8">
        <f>M2-O2</f>
        <v>200000</v>
      </c>
      <c r="Q2" s="4"/>
    </row>
    <row r="3" spans="1:17" x14ac:dyDescent="0.25">
      <c r="A3" s="5" t="s">
        <v>23</v>
      </c>
      <c r="B3" s="7">
        <v>250000</v>
      </c>
      <c r="C3" s="7">
        <v>287500</v>
      </c>
      <c r="D3" s="7">
        <v>287500</v>
      </c>
      <c r="E3" s="7">
        <v>287500</v>
      </c>
      <c r="F3" s="7">
        <v>287500</v>
      </c>
      <c r="G3" s="7">
        <v>287500</v>
      </c>
      <c r="H3" s="7">
        <v>287500</v>
      </c>
      <c r="I3" s="7">
        <v>287500</v>
      </c>
      <c r="J3" s="7">
        <v>287500</v>
      </c>
      <c r="K3" s="7">
        <v>287500</v>
      </c>
      <c r="L3" s="7">
        <v>287500</v>
      </c>
      <c r="M3" s="7">
        <v>287500</v>
      </c>
      <c r="N3" s="7">
        <f t="shared" ref="N3:N9" si="0">SUM(B3:M3)</f>
        <v>3412500</v>
      </c>
      <c r="O3" s="8">
        <v>250000</v>
      </c>
      <c r="P3" s="8">
        <f t="shared" ref="P3:P7" si="1">M3-O3</f>
        <v>37500</v>
      </c>
      <c r="Q3" s="4"/>
    </row>
    <row r="4" spans="1:17" x14ac:dyDescent="0.25">
      <c r="A4" s="5" t="s">
        <v>22</v>
      </c>
      <c r="B4" s="7">
        <v>300000</v>
      </c>
      <c r="C4" s="7">
        <v>300000</v>
      </c>
      <c r="D4" s="7">
        <v>300000</v>
      </c>
      <c r="E4" s="7">
        <v>300000</v>
      </c>
      <c r="F4" s="7">
        <v>300000</v>
      </c>
      <c r="G4" s="7">
        <v>300000</v>
      </c>
      <c r="H4" s="7">
        <v>300000</v>
      </c>
      <c r="I4" s="7">
        <v>300000</v>
      </c>
      <c r="J4" s="7">
        <v>300000</v>
      </c>
      <c r="K4" s="7">
        <v>300000</v>
      </c>
      <c r="L4" s="7">
        <v>300000</v>
      </c>
      <c r="M4" s="7">
        <v>300000</v>
      </c>
      <c r="N4" s="7">
        <f t="shared" si="0"/>
        <v>3600000</v>
      </c>
      <c r="O4" s="8"/>
      <c r="P4" s="8">
        <f t="shared" si="1"/>
        <v>300000</v>
      </c>
      <c r="Q4" s="4"/>
    </row>
    <row r="5" spans="1:17" x14ac:dyDescent="0.25">
      <c r="A5" s="5" t="s">
        <v>16</v>
      </c>
      <c r="B5" s="7">
        <v>500000</v>
      </c>
      <c r="C5" s="7">
        <v>700000</v>
      </c>
      <c r="D5" s="7">
        <v>700000</v>
      </c>
      <c r="E5" s="7">
        <v>700000</v>
      </c>
      <c r="F5" s="7">
        <v>700000</v>
      </c>
      <c r="G5" s="7">
        <v>700000</v>
      </c>
      <c r="H5" s="7">
        <v>700000</v>
      </c>
      <c r="I5" s="7">
        <v>700000</v>
      </c>
      <c r="J5" s="7">
        <v>700000</v>
      </c>
      <c r="K5" s="7">
        <v>700000</v>
      </c>
      <c r="L5" s="7">
        <v>700000</v>
      </c>
      <c r="M5" s="7">
        <v>700000</v>
      </c>
      <c r="N5" s="7">
        <v>700000</v>
      </c>
      <c r="O5" s="8">
        <v>500000</v>
      </c>
      <c r="P5" s="8">
        <f t="shared" si="1"/>
        <v>200000</v>
      </c>
      <c r="Q5" s="4"/>
    </row>
    <row r="6" spans="1:17" x14ac:dyDescent="0.25">
      <c r="A6" s="5" t="s">
        <v>21</v>
      </c>
      <c r="B6" s="7">
        <v>350000</v>
      </c>
      <c r="C6" s="7">
        <v>350000</v>
      </c>
      <c r="D6" s="7">
        <v>350000</v>
      </c>
      <c r="E6" s="7">
        <v>350000</v>
      </c>
      <c r="F6" s="7">
        <v>350000</v>
      </c>
      <c r="G6" s="7">
        <v>350000</v>
      </c>
      <c r="H6" s="7">
        <v>350000</v>
      </c>
      <c r="I6" s="7">
        <v>350000</v>
      </c>
      <c r="J6" s="7">
        <v>350000</v>
      </c>
      <c r="K6" s="7">
        <v>350000</v>
      </c>
      <c r="L6" s="7">
        <v>350000</v>
      </c>
      <c r="M6" s="7">
        <v>350000</v>
      </c>
      <c r="N6" s="7">
        <f t="shared" si="0"/>
        <v>4200000</v>
      </c>
      <c r="O6" s="8"/>
      <c r="P6" s="8">
        <f t="shared" si="1"/>
        <v>350000</v>
      </c>
      <c r="Q6" s="4"/>
    </row>
    <row r="7" spans="1:17" x14ac:dyDescent="0.25">
      <c r="A7" s="5" t="s">
        <v>17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>
        <v>4875000</v>
      </c>
      <c r="N7" s="7">
        <f t="shared" ref="N7" si="2">SUM(B7:M7)</f>
        <v>4875000</v>
      </c>
      <c r="O7" s="8"/>
      <c r="P7" s="8">
        <f t="shared" si="1"/>
        <v>4875000</v>
      </c>
      <c r="Q7" s="4"/>
    </row>
    <row r="8" spans="1:17" x14ac:dyDescent="0.25">
      <c r="A8" s="5" t="s">
        <v>18</v>
      </c>
      <c r="B8" s="7">
        <v>200000</v>
      </c>
      <c r="C8" s="7">
        <v>200000</v>
      </c>
      <c r="D8" s="7">
        <v>200000</v>
      </c>
      <c r="E8" s="7">
        <v>200000</v>
      </c>
      <c r="F8" s="7">
        <v>200000</v>
      </c>
      <c r="G8" s="7">
        <v>200000</v>
      </c>
      <c r="H8" s="7">
        <v>200000</v>
      </c>
      <c r="I8" s="7">
        <v>200000</v>
      </c>
      <c r="J8" s="7">
        <v>200000</v>
      </c>
      <c r="K8" s="7">
        <v>200000</v>
      </c>
      <c r="L8" s="7">
        <v>200000</v>
      </c>
      <c r="M8" s="7">
        <v>200000</v>
      </c>
      <c r="N8" s="7">
        <f t="shared" si="0"/>
        <v>2400000</v>
      </c>
      <c r="O8" s="9" t="s">
        <v>11</v>
      </c>
      <c r="P8" s="8">
        <f>SUM(P2:P7)</f>
        <v>5962500</v>
      </c>
    </row>
    <row r="9" spans="1:17" x14ac:dyDescent="0.25">
      <c r="A9" s="5" t="s">
        <v>19</v>
      </c>
      <c r="B9" s="7"/>
      <c r="C9" s="7">
        <v>500000</v>
      </c>
      <c r="D9" s="7"/>
      <c r="E9" s="7"/>
      <c r="F9" s="7"/>
      <c r="G9" s="7"/>
      <c r="H9" s="7"/>
      <c r="I9" s="7"/>
      <c r="J9" s="7"/>
      <c r="K9" s="7"/>
      <c r="L9" s="7"/>
      <c r="M9" s="7"/>
      <c r="N9" s="7">
        <f t="shared" si="0"/>
        <v>500000</v>
      </c>
      <c r="O9" s="5"/>
      <c r="P9" s="5"/>
      <c r="Q9" s="4"/>
    </row>
    <row r="10" spans="1:17" x14ac:dyDescent="0.25">
      <c r="A10" s="4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11</v>
      </c>
      <c r="N10" s="2">
        <f>SUM(N2:N9)</f>
        <v>29087500</v>
      </c>
      <c r="O10" s="4"/>
      <c r="P10" s="4"/>
      <c r="Q10" s="4"/>
    </row>
    <row r="11" spans="1:17" x14ac:dyDescent="0.25">
      <c r="A11" s="4"/>
      <c r="B11" s="3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1:17" x14ac:dyDescent="0.25">
      <c r="B12" s="1"/>
      <c r="O12" s="4"/>
      <c r="P12" s="4"/>
      <c r="Q12" s="4"/>
    </row>
    <row r="13" spans="1:17" x14ac:dyDescent="0.25">
      <c r="O13" s="4"/>
      <c r="P13" s="4"/>
      <c r="Q13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A79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>SPecialiST RePack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Marich</dc:creator>
  <cp:lastModifiedBy>Сергей Бойко</cp:lastModifiedBy>
  <cp:lastPrinted>2020-11-06T11:47:10Z</cp:lastPrinted>
  <dcterms:created xsi:type="dcterms:W3CDTF">2017-12-12T09:08:12Z</dcterms:created>
  <dcterms:modified xsi:type="dcterms:W3CDTF">2021-02-02T11:12:45Z</dcterms:modified>
</cp:coreProperties>
</file>